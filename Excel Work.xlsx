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5.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029d32ce6e9006df/Desktop/project/IMP Marketing/"/>
    </mc:Choice>
  </mc:AlternateContent>
  <xr:revisionPtr revIDLastSave="0" documentId="8_{70595DCC-B510-43B7-8081-91C26DE7E797}" xr6:coauthVersionLast="47" xr6:coauthVersionMax="47" xr10:uidLastSave="{00000000-0000-0000-0000-000000000000}"/>
  <bookViews>
    <workbookView xWindow="-110" yWindow="-110" windowWidth="19420" windowHeight="10300" tabRatio="807" activeTab="5" xr2:uid="{96A54AF8-E140-4D7C-8B7F-540671A4A6B6}"/>
  </bookViews>
  <sheets>
    <sheet name="Channel Analysis" sheetId="5" r:id="rId1"/>
    <sheet name="City Analysis" sheetId="6" r:id="rId2"/>
    <sheet name="Segment Analysis" sheetId="7" r:id="rId3"/>
    <sheet name="Campaign Analysis" sheetId="8" r:id="rId4"/>
    <sheet name="im_packaging_marketing master_m" sheetId="2" r:id="rId5"/>
    <sheet name="Executive Dashboard" sheetId="1" r:id="rId6"/>
  </sheets>
  <definedNames>
    <definedName name="ExternalData_1" localSheetId="4" hidden="1">'im_packaging_marketing master_m'!$A$1:$M$209</definedName>
    <definedName name="Slicer_Audience_Segment">#N/A</definedName>
    <definedName name="Slicer_Channel">#N/A</definedName>
    <definedName name="Slicer_City">#N/A</definedName>
    <definedName name="Slicer_Source">#N/A</definedName>
  </definedNames>
  <calcPr calcId="191029"/>
  <pivotCaches>
    <pivotCache cacheId="1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6" i="1" l="1"/>
  <c r="J6" i="1"/>
  <c r="H6" i="1"/>
  <c r="F6" i="1"/>
  <c r="D6" i="1"/>
  <c r="B6" i="1"/>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F921B1-91EA-442F-8E0A-273314DBD24B}" keepAlive="1" name="Query - im_packaging_marketing master_marketing" description="Connection to the 'im_packaging_marketing master_marketing' query in the workbook." type="5" refreshedVersion="8" background="1" saveData="1">
    <dbPr connection="Provider=Microsoft.Mashup.OleDb.1;Data Source=$Workbook$;Location=&quot;im_packaging_marketing master_marketing&quot;;Extended Properties=&quot;&quot;" command="SELECT * FROM [im_packaging_marketing master_marketing]"/>
  </connection>
</connections>
</file>

<file path=xl/sharedStrings.xml><?xml version="1.0" encoding="utf-8"?>
<sst xmlns="http://schemas.openxmlformats.org/spreadsheetml/2006/main" count="1130" uniqueCount="263">
  <si>
    <t>Date</t>
  </si>
  <si>
    <t>Campaign_ID</t>
  </si>
  <si>
    <t>Channel</t>
  </si>
  <si>
    <t>Source</t>
  </si>
  <si>
    <t>City</t>
  </si>
  <si>
    <t>Audience_Segment</t>
  </si>
  <si>
    <t>Impressions</t>
  </si>
  <si>
    <t>Clicks</t>
  </si>
  <si>
    <t>Website_Visits</t>
  </si>
  <si>
    <t>Leads</t>
  </si>
  <si>
    <t>Conversions</t>
  </si>
  <si>
    <t>Spend_INR</t>
  </si>
  <si>
    <t>Revenue_INR</t>
  </si>
  <si>
    <t>SM01F</t>
  </si>
  <si>
    <t>Social Media</t>
  </si>
  <si>
    <t>Facebook</t>
  </si>
  <si>
    <t>Belgaum</t>
  </si>
  <si>
    <t>Engineering</t>
  </si>
  <si>
    <t>SM01I</t>
  </si>
  <si>
    <t>Instagram</t>
  </si>
  <si>
    <t>Kolhapur</t>
  </si>
  <si>
    <t>Pharmaceutical</t>
  </si>
  <si>
    <t>SM03F</t>
  </si>
  <si>
    <t>Manufacturing</t>
  </si>
  <si>
    <t>SM03I</t>
  </si>
  <si>
    <t>Hubli</t>
  </si>
  <si>
    <t>SM04F</t>
  </si>
  <si>
    <t>Tasgaon</t>
  </si>
  <si>
    <t>Packaging</t>
  </si>
  <si>
    <t>SM04I</t>
  </si>
  <si>
    <t>Food Processing</t>
  </si>
  <si>
    <t>SM05F</t>
  </si>
  <si>
    <t>SM05I</t>
  </si>
  <si>
    <t>SM06F</t>
  </si>
  <si>
    <t>Sangli</t>
  </si>
  <si>
    <t>SM06I</t>
  </si>
  <si>
    <t>SM07F</t>
  </si>
  <si>
    <t>SM07I</t>
  </si>
  <si>
    <t>SM08F</t>
  </si>
  <si>
    <t>SM08I</t>
  </si>
  <si>
    <t>SM10F</t>
  </si>
  <si>
    <t>SM10I</t>
  </si>
  <si>
    <t>SM11F</t>
  </si>
  <si>
    <t>SM11I</t>
  </si>
  <si>
    <t>SM12F</t>
  </si>
  <si>
    <t>SM12I</t>
  </si>
  <si>
    <t>SM13F</t>
  </si>
  <si>
    <t>SM13I</t>
  </si>
  <si>
    <t>SM14F</t>
  </si>
  <si>
    <t>SM14I</t>
  </si>
  <si>
    <t>SM15F</t>
  </si>
  <si>
    <t>SM15I</t>
  </si>
  <si>
    <t>SM17F</t>
  </si>
  <si>
    <t>SM17I</t>
  </si>
  <si>
    <t>SM18F</t>
  </si>
  <si>
    <t>SM18I</t>
  </si>
  <si>
    <t>SM19F</t>
  </si>
  <si>
    <t>Goa</t>
  </si>
  <si>
    <t>SM19I</t>
  </si>
  <si>
    <t>SM20F</t>
  </si>
  <si>
    <t>SM20I</t>
  </si>
  <si>
    <t>SM21F</t>
  </si>
  <si>
    <t>SM21I</t>
  </si>
  <si>
    <t>SM22F</t>
  </si>
  <si>
    <t>SM22I</t>
  </si>
  <si>
    <t>SM24F</t>
  </si>
  <si>
    <t>SM24I</t>
  </si>
  <si>
    <t>SM25F</t>
  </si>
  <si>
    <t>SM25I</t>
  </si>
  <si>
    <t>SM26F</t>
  </si>
  <si>
    <t>SM26I</t>
  </si>
  <si>
    <t>SM27F</t>
  </si>
  <si>
    <t>SM27I</t>
  </si>
  <si>
    <t>SM28F</t>
  </si>
  <si>
    <t>SM28I</t>
  </si>
  <si>
    <t>SM29F</t>
  </si>
  <si>
    <t>SM29I</t>
  </si>
  <si>
    <t>SM31F</t>
  </si>
  <si>
    <t>SM31I</t>
  </si>
  <si>
    <t>WB011</t>
  </si>
  <si>
    <t>Website</t>
  </si>
  <si>
    <t>Referral</t>
  </si>
  <si>
    <t>WB012</t>
  </si>
  <si>
    <t>Google</t>
  </si>
  <si>
    <t>WB031</t>
  </si>
  <si>
    <t>Direct</t>
  </si>
  <si>
    <t>WB032</t>
  </si>
  <si>
    <t>WB041</t>
  </si>
  <si>
    <t>WB042</t>
  </si>
  <si>
    <t>WB051</t>
  </si>
  <si>
    <t>WB052</t>
  </si>
  <si>
    <t>WB061</t>
  </si>
  <si>
    <t>WB062</t>
  </si>
  <si>
    <t>WB071</t>
  </si>
  <si>
    <t>WB072</t>
  </si>
  <si>
    <t>WB081</t>
  </si>
  <si>
    <t>WB082</t>
  </si>
  <si>
    <t>WB101</t>
  </si>
  <si>
    <t>WB102</t>
  </si>
  <si>
    <t>WB111</t>
  </si>
  <si>
    <t>WB112</t>
  </si>
  <si>
    <t>WB121</t>
  </si>
  <si>
    <t>WB122</t>
  </si>
  <si>
    <t>WB131</t>
  </si>
  <si>
    <t>WB132</t>
  </si>
  <si>
    <t>WB141</t>
  </si>
  <si>
    <t>WB142</t>
  </si>
  <si>
    <t>WB151</t>
  </si>
  <si>
    <t>WB152</t>
  </si>
  <si>
    <t>WB171</t>
  </si>
  <si>
    <t>WB172</t>
  </si>
  <si>
    <t>WB181</t>
  </si>
  <si>
    <t>WB182</t>
  </si>
  <si>
    <t>WB191</t>
  </si>
  <si>
    <t>WB192</t>
  </si>
  <si>
    <t>WB201</t>
  </si>
  <si>
    <t>WB202</t>
  </si>
  <si>
    <t>WB211</t>
  </si>
  <si>
    <t>WB212</t>
  </si>
  <si>
    <t>WB221</t>
  </si>
  <si>
    <t>WB222</t>
  </si>
  <si>
    <t>WB241</t>
  </si>
  <si>
    <t>WB242</t>
  </si>
  <si>
    <t>WB251</t>
  </si>
  <si>
    <t>WB252</t>
  </si>
  <si>
    <t>WB261</t>
  </si>
  <si>
    <t>WB262</t>
  </si>
  <si>
    <t>WB271</t>
  </si>
  <si>
    <t>WB272</t>
  </si>
  <si>
    <t>WB281</t>
  </si>
  <si>
    <t>WB282</t>
  </si>
  <si>
    <t>WB291</t>
  </si>
  <si>
    <t>WB292</t>
  </si>
  <si>
    <t>WB311</t>
  </si>
  <si>
    <t>WB312</t>
  </si>
  <si>
    <t>WA011</t>
  </si>
  <si>
    <t>WhatsApp</t>
  </si>
  <si>
    <t>YouTube</t>
  </si>
  <si>
    <t>WA012</t>
  </si>
  <si>
    <t>WA031</t>
  </si>
  <si>
    <t>WA032</t>
  </si>
  <si>
    <t>WA041</t>
  </si>
  <si>
    <t>WA042</t>
  </si>
  <si>
    <t>WA051</t>
  </si>
  <si>
    <t>WA052</t>
  </si>
  <si>
    <t>WA061</t>
  </si>
  <si>
    <t>WA062</t>
  </si>
  <si>
    <t>WA071</t>
  </si>
  <si>
    <t>WA072</t>
  </si>
  <si>
    <t>WA081</t>
  </si>
  <si>
    <t>WA082</t>
  </si>
  <si>
    <t>WA101</t>
  </si>
  <si>
    <t>WA102</t>
  </si>
  <si>
    <t>WA111</t>
  </si>
  <si>
    <t>WA112</t>
  </si>
  <si>
    <t>WA121</t>
  </si>
  <si>
    <t>WA122</t>
  </si>
  <si>
    <t>WA131</t>
  </si>
  <si>
    <t>WA132</t>
  </si>
  <si>
    <t>WA141</t>
  </si>
  <si>
    <t>WA142</t>
  </si>
  <si>
    <t>WA151</t>
  </si>
  <si>
    <t>WA152</t>
  </si>
  <si>
    <t>WA171</t>
  </si>
  <si>
    <t>WA172</t>
  </si>
  <si>
    <t>WA181</t>
  </si>
  <si>
    <t>WA182</t>
  </si>
  <si>
    <t>WA191</t>
  </si>
  <si>
    <t>WA192</t>
  </si>
  <si>
    <t>WA201</t>
  </si>
  <si>
    <t>WA202</t>
  </si>
  <si>
    <t>WA211</t>
  </si>
  <si>
    <t>WA212</t>
  </si>
  <si>
    <t>WA221</t>
  </si>
  <si>
    <t>WA222</t>
  </si>
  <si>
    <t>WA241</t>
  </si>
  <si>
    <t>WA242</t>
  </si>
  <si>
    <t>WA251</t>
  </si>
  <si>
    <t>WA252</t>
  </si>
  <si>
    <t>WA261</t>
  </si>
  <si>
    <t>WA262</t>
  </si>
  <si>
    <t>WA271</t>
  </si>
  <si>
    <t>WA272</t>
  </si>
  <si>
    <t>WA281</t>
  </si>
  <si>
    <t>WA282</t>
  </si>
  <si>
    <t>WA291</t>
  </si>
  <si>
    <t>WA292</t>
  </si>
  <si>
    <t>WA311</t>
  </si>
  <si>
    <t>WA312</t>
  </si>
  <si>
    <t>YT011</t>
  </si>
  <si>
    <t>YouTube Ads</t>
  </si>
  <si>
    <t>YT012</t>
  </si>
  <si>
    <t>YT031</t>
  </si>
  <si>
    <t>YT032</t>
  </si>
  <si>
    <t>YT041</t>
  </si>
  <si>
    <t>YT042</t>
  </si>
  <si>
    <t>YT051</t>
  </si>
  <si>
    <t>YT052</t>
  </si>
  <si>
    <t>YT061</t>
  </si>
  <si>
    <t>YT062</t>
  </si>
  <si>
    <t>YT071</t>
  </si>
  <si>
    <t>YT072</t>
  </si>
  <si>
    <t>YT081</t>
  </si>
  <si>
    <t>YT082</t>
  </si>
  <si>
    <t>YT101</t>
  </si>
  <si>
    <t>YT102</t>
  </si>
  <si>
    <t>YT111</t>
  </si>
  <si>
    <t>YT112</t>
  </si>
  <si>
    <t>YT121</t>
  </si>
  <si>
    <t>YT122</t>
  </si>
  <si>
    <t>YT131</t>
  </si>
  <si>
    <t>YT132</t>
  </si>
  <si>
    <t>YT141</t>
  </si>
  <si>
    <t>YT142</t>
  </si>
  <si>
    <t>YT151</t>
  </si>
  <si>
    <t>YT152</t>
  </si>
  <si>
    <t>YT171</t>
  </si>
  <si>
    <t>YT172</t>
  </si>
  <si>
    <t>YT181</t>
  </si>
  <si>
    <t>YT182</t>
  </si>
  <si>
    <t>YT191</t>
  </si>
  <si>
    <t>YT192</t>
  </si>
  <si>
    <t>YT201</t>
  </si>
  <si>
    <t>YT202</t>
  </si>
  <si>
    <t>YT211</t>
  </si>
  <si>
    <t>YT212</t>
  </si>
  <si>
    <t>YT221</t>
  </si>
  <si>
    <t>YT222</t>
  </si>
  <si>
    <t>YT241</t>
  </si>
  <si>
    <t>YT242</t>
  </si>
  <si>
    <t>YT251</t>
  </si>
  <si>
    <t>YT252</t>
  </si>
  <si>
    <t>YT261</t>
  </si>
  <si>
    <t>YT262</t>
  </si>
  <si>
    <t>YT271</t>
  </si>
  <si>
    <t>YT272</t>
  </si>
  <si>
    <t>YT281</t>
  </si>
  <si>
    <t>YT282</t>
  </si>
  <si>
    <t>YT291</t>
  </si>
  <si>
    <t>YT292</t>
  </si>
  <si>
    <t>YT311</t>
  </si>
  <si>
    <t>YT312</t>
  </si>
  <si>
    <t>Conversion_Rate</t>
  </si>
  <si>
    <t>ROI</t>
  </si>
  <si>
    <t>CTR</t>
  </si>
  <si>
    <t>CPL(Cost Per Lead)</t>
  </si>
  <si>
    <t>Total Spend</t>
  </si>
  <si>
    <t>Total Leads</t>
  </si>
  <si>
    <t>Total Conversions</t>
  </si>
  <si>
    <t>Total Revenue</t>
  </si>
  <si>
    <t>Avg ROI</t>
  </si>
  <si>
    <t>Conversion Rate</t>
  </si>
  <si>
    <t>Row Labels</t>
  </si>
  <si>
    <t>Grand Total</t>
  </si>
  <si>
    <t>Sum of Spend_INR</t>
  </si>
  <si>
    <t>Sum of Leads</t>
  </si>
  <si>
    <t>Sum of Conversions</t>
  </si>
  <si>
    <t>Sum of Revenue_INR</t>
  </si>
  <si>
    <r>
      <rPr>
        <sz val="28"/>
        <color theme="3"/>
        <rFont val="Aptos Display"/>
        <family val="2"/>
        <scheme val="major"/>
      </rPr>
      <t xml:space="preserve">IM PACKAGING </t>
    </r>
    <r>
      <rPr>
        <sz val="18"/>
        <color theme="3"/>
        <rFont val="Aptos Display"/>
        <family val="2"/>
        <scheme val="major"/>
      </rPr>
      <t>| Marketing Analytics Dashboard</t>
    </r>
  </si>
  <si>
    <t xml:space="preserve"> Conversions</t>
  </si>
  <si>
    <t xml:space="preserve"> Revenue</t>
  </si>
  <si>
    <t>Spend</t>
  </si>
  <si>
    <t>Top 5 Campaign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</si>
</sst>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sz val="18"/>
      <color theme="3"/>
      <name val="Aptos Display"/>
      <family val="2"/>
      <scheme val="major"/>
    </font>
    <font>
      <sz val="28"/>
      <color theme="3"/>
      <name val="Aptos Display"/>
      <family val="2"/>
      <scheme val="maj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8">
    <xf numFmtId="0" fontId="0" fillId="0" borderId="0" xfId="0"/>
    <xf numFmtId="14" fontId="0" fillId="0" borderId="0" xfId="0" applyNumberFormat="1"/>
    <xf numFmtId="0"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2" applyAlignment="1">
      <alignment horizontal="center" vertical="top"/>
    </xf>
  </cellXfs>
  <cellStyles count="3">
    <cellStyle name="Normal" xfId="0" builtinId="0"/>
    <cellStyle name="Percent" xfId="1" builtinId="5"/>
    <cellStyle name="Title" xfId="2" builtinId="15"/>
  </cellStyles>
  <dxfs count="11">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3" formatCode="0%"/>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Work.xlsx]Channel Analysis!PivotTable1</c:name>
    <c:fmtId val="0"/>
  </c:pivotSource>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t>Marketing Performance by Channel</a:t>
            </a:r>
          </a:p>
        </c:rich>
      </c:tx>
      <c:layout>
        <c:manualLayout>
          <c:xMode val="edge"/>
          <c:yMode val="edge"/>
          <c:x val="0.14383367759503435"/>
          <c:y val="2.3148148148148147E-2"/>
        </c:manualLayout>
      </c:layout>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x"/>
          <c:size val="6"/>
          <c:spPr>
            <a:no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444444444444446E-2"/>
          <c:y val="0.29199074074074072"/>
          <c:w val="0.67128652668416444"/>
          <c:h val="0.58283974919801695"/>
        </c:manualLayout>
      </c:layout>
      <c:barChart>
        <c:barDir val="col"/>
        <c:grouping val="clustered"/>
        <c:varyColors val="0"/>
        <c:ser>
          <c:idx val="0"/>
          <c:order val="0"/>
          <c:tx>
            <c:strRef>
              <c:f>'Channel Analysis'!$B$3</c:f>
              <c:strCache>
                <c:ptCount val="1"/>
                <c:pt idx="0">
                  <c:v>Sum of Spend_INR</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'Channel Analysis'!$A$4:$A$8</c:f>
              <c:strCache>
                <c:ptCount val="4"/>
                <c:pt idx="0">
                  <c:v>Social Media</c:v>
                </c:pt>
                <c:pt idx="1">
                  <c:v>Website</c:v>
                </c:pt>
                <c:pt idx="2">
                  <c:v>WhatsApp</c:v>
                </c:pt>
                <c:pt idx="3">
                  <c:v>YouTube</c:v>
                </c:pt>
              </c:strCache>
            </c:strRef>
          </c:cat>
          <c:val>
            <c:numRef>
              <c:f>'Channel Analysis'!$B$4:$B$8</c:f>
              <c:numCache>
                <c:formatCode>General</c:formatCode>
                <c:ptCount val="4"/>
                <c:pt idx="0">
                  <c:v>23689.74</c:v>
                </c:pt>
                <c:pt idx="1">
                  <c:v>22317.620000000006</c:v>
                </c:pt>
                <c:pt idx="2">
                  <c:v>13175.989999999994</c:v>
                </c:pt>
                <c:pt idx="3">
                  <c:v>23566.13</c:v>
                </c:pt>
              </c:numCache>
            </c:numRef>
          </c:val>
          <c:extLst>
            <c:ext xmlns:c16="http://schemas.microsoft.com/office/drawing/2014/chart" uri="{C3380CC4-5D6E-409C-BE32-E72D297353CC}">
              <c16:uniqueId val="{00000000-16FD-418F-A296-F4569DB5471F}"/>
            </c:ext>
          </c:extLst>
        </c:ser>
        <c:ser>
          <c:idx val="1"/>
          <c:order val="1"/>
          <c:tx>
            <c:strRef>
              <c:f>'Channel Analysis'!$C$3</c:f>
              <c:strCache>
                <c:ptCount val="1"/>
                <c:pt idx="0">
                  <c:v>Sum of Leads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'Channel Analysis'!$A$4:$A$8</c:f>
              <c:strCache>
                <c:ptCount val="4"/>
                <c:pt idx="0">
                  <c:v>Social Media</c:v>
                </c:pt>
                <c:pt idx="1">
                  <c:v>Website</c:v>
                </c:pt>
                <c:pt idx="2">
                  <c:v>WhatsApp</c:v>
                </c:pt>
                <c:pt idx="3">
                  <c:v>YouTube</c:v>
                </c:pt>
              </c:strCache>
            </c:strRef>
          </c:cat>
          <c:val>
            <c:numRef>
              <c:f>'Channel Analysis'!$C$4:$C$8</c:f>
              <c:numCache>
                <c:formatCode>General</c:formatCode>
                <c:ptCount val="4"/>
                <c:pt idx="0">
                  <c:v>386</c:v>
                </c:pt>
                <c:pt idx="1">
                  <c:v>514</c:v>
                </c:pt>
                <c:pt idx="2">
                  <c:v>874</c:v>
                </c:pt>
                <c:pt idx="3">
                  <c:v>469</c:v>
                </c:pt>
              </c:numCache>
            </c:numRef>
          </c:val>
          <c:extLst>
            <c:ext xmlns:c16="http://schemas.microsoft.com/office/drawing/2014/chart" uri="{C3380CC4-5D6E-409C-BE32-E72D297353CC}">
              <c16:uniqueId val="{00000001-16FD-418F-A296-F4569DB5471F}"/>
            </c:ext>
          </c:extLst>
        </c:ser>
        <c:ser>
          <c:idx val="2"/>
          <c:order val="2"/>
          <c:tx>
            <c:strRef>
              <c:f>'Channel Analysis'!$D$3</c:f>
              <c:strCache>
                <c:ptCount val="1"/>
                <c:pt idx="0">
                  <c:v>Sum of Conversions</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'Channel Analysis'!$A$4:$A$8</c:f>
              <c:strCache>
                <c:ptCount val="4"/>
                <c:pt idx="0">
                  <c:v>Social Media</c:v>
                </c:pt>
                <c:pt idx="1">
                  <c:v>Website</c:v>
                </c:pt>
                <c:pt idx="2">
                  <c:v>WhatsApp</c:v>
                </c:pt>
                <c:pt idx="3">
                  <c:v>YouTube</c:v>
                </c:pt>
              </c:strCache>
            </c:strRef>
          </c:cat>
          <c:val>
            <c:numRef>
              <c:f>'Channel Analysis'!$D$4:$D$8</c:f>
              <c:numCache>
                <c:formatCode>General</c:formatCode>
                <c:ptCount val="4"/>
                <c:pt idx="0">
                  <c:v>167</c:v>
                </c:pt>
                <c:pt idx="1">
                  <c:v>192</c:v>
                </c:pt>
                <c:pt idx="2">
                  <c:v>374</c:v>
                </c:pt>
                <c:pt idx="3">
                  <c:v>180</c:v>
                </c:pt>
              </c:numCache>
            </c:numRef>
          </c:val>
          <c:extLst>
            <c:ext xmlns:c16="http://schemas.microsoft.com/office/drawing/2014/chart" uri="{C3380CC4-5D6E-409C-BE32-E72D297353CC}">
              <c16:uniqueId val="{00000002-16FD-418F-A296-F4569DB5471F}"/>
            </c:ext>
          </c:extLst>
        </c:ser>
        <c:ser>
          <c:idx val="3"/>
          <c:order val="3"/>
          <c:tx>
            <c:strRef>
              <c:f>'Channel Analysis'!$E$3</c:f>
              <c:strCache>
                <c:ptCount val="1"/>
                <c:pt idx="0">
                  <c:v>Sum of Revenue_INR</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'Channel Analysis'!$A$4:$A$8</c:f>
              <c:strCache>
                <c:ptCount val="4"/>
                <c:pt idx="0">
                  <c:v>Social Media</c:v>
                </c:pt>
                <c:pt idx="1">
                  <c:v>Website</c:v>
                </c:pt>
                <c:pt idx="2">
                  <c:v>WhatsApp</c:v>
                </c:pt>
                <c:pt idx="3">
                  <c:v>YouTube</c:v>
                </c:pt>
              </c:strCache>
            </c:strRef>
          </c:cat>
          <c:val>
            <c:numRef>
              <c:f>'Channel Analysis'!$E$4:$E$8</c:f>
              <c:numCache>
                <c:formatCode>General</c:formatCode>
                <c:ptCount val="4"/>
                <c:pt idx="0">
                  <c:v>7715094</c:v>
                </c:pt>
                <c:pt idx="1">
                  <c:v>9395335</c:v>
                </c:pt>
                <c:pt idx="2">
                  <c:v>17063912</c:v>
                </c:pt>
                <c:pt idx="3">
                  <c:v>8448885</c:v>
                </c:pt>
              </c:numCache>
            </c:numRef>
          </c:val>
          <c:extLst>
            <c:ext xmlns:c16="http://schemas.microsoft.com/office/drawing/2014/chart" uri="{C3380CC4-5D6E-409C-BE32-E72D297353CC}">
              <c16:uniqueId val="{00000003-16FD-418F-A296-F4569DB5471F}"/>
            </c:ext>
          </c:extLst>
        </c:ser>
        <c:dLbls>
          <c:dLblPos val="outEnd"/>
          <c:showLegendKey val="0"/>
          <c:showVal val="1"/>
          <c:showCatName val="0"/>
          <c:showSerName val="0"/>
          <c:showPercent val="0"/>
          <c:showBubbleSize val="0"/>
        </c:dLbls>
        <c:gapWidth val="444"/>
        <c:overlap val="-90"/>
        <c:axId val="916402928"/>
        <c:axId val="916406288"/>
      </c:barChart>
      <c:catAx>
        <c:axId val="916402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16406288"/>
        <c:crosses val="autoZero"/>
        <c:auto val="1"/>
        <c:lblAlgn val="ctr"/>
        <c:lblOffset val="100"/>
        <c:noMultiLvlLbl val="0"/>
      </c:catAx>
      <c:valAx>
        <c:axId val="916406288"/>
        <c:scaling>
          <c:orientation val="minMax"/>
        </c:scaling>
        <c:delete val="1"/>
        <c:axPos val="l"/>
        <c:numFmt formatCode="General" sourceLinked="1"/>
        <c:majorTickMark val="none"/>
        <c:minorTickMark val="none"/>
        <c:tickLblPos val="nextTo"/>
        <c:crossAx val="916402928"/>
        <c:crosses val="autoZero"/>
        <c:crossBetween val="between"/>
      </c:valAx>
      <c:spPr>
        <a:noFill/>
        <a:ln>
          <a:noFill/>
        </a:ln>
        <a:effectLst/>
      </c:spPr>
    </c:plotArea>
    <c:legend>
      <c:legendPos val="r"/>
      <c:layout>
        <c:manualLayout>
          <c:xMode val="edge"/>
          <c:yMode val="edge"/>
          <c:x val="0.74350874890638674"/>
          <c:y val="0.5707626130067075"/>
          <c:w val="0.23757225613070557"/>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Work.xlsx]City Analysis!PivotTable2</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Conversions by City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hade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tint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 Analysis'!$B$3</c:f>
              <c:strCache>
                <c:ptCount val="1"/>
                <c:pt idx="0">
                  <c:v>Sum of Conversions</c:v>
                </c:pt>
              </c:strCache>
            </c:strRef>
          </c:tx>
          <c:spPr>
            <a:pattFill prst="narVert">
              <a:fgClr>
                <a:schemeClr val="accent1">
                  <a:shade val="65000"/>
                </a:schemeClr>
              </a:fgClr>
              <a:bgClr>
                <a:schemeClr val="accent1">
                  <a:shade val="65000"/>
                  <a:lumMod val="20000"/>
                  <a:lumOff val="80000"/>
                </a:schemeClr>
              </a:bgClr>
            </a:pattFill>
            <a:ln>
              <a:noFill/>
            </a:ln>
            <a:effectLst>
              <a:innerShdw blurRad="114300">
                <a:schemeClr val="accent1">
                  <a:shade val="6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'City Analysis'!$A$4:$A$10</c:f>
              <c:strCache>
                <c:ptCount val="6"/>
                <c:pt idx="0">
                  <c:v>Kolhapur</c:v>
                </c:pt>
                <c:pt idx="1">
                  <c:v>Hubli</c:v>
                </c:pt>
                <c:pt idx="2">
                  <c:v>Goa</c:v>
                </c:pt>
                <c:pt idx="3">
                  <c:v>Sangli</c:v>
                </c:pt>
                <c:pt idx="4">
                  <c:v>Tasgaon</c:v>
                </c:pt>
                <c:pt idx="5">
                  <c:v>Belgaum</c:v>
                </c:pt>
              </c:strCache>
            </c:strRef>
          </c:cat>
          <c:val>
            <c:numRef>
              <c:f>'City Analysis'!$B$4:$B$10</c:f>
              <c:numCache>
                <c:formatCode>General</c:formatCode>
                <c:ptCount val="6"/>
                <c:pt idx="0">
                  <c:v>188</c:v>
                </c:pt>
                <c:pt idx="1">
                  <c:v>179</c:v>
                </c:pt>
                <c:pt idx="2">
                  <c:v>167</c:v>
                </c:pt>
                <c:pt idx="3">
                  <c:v>138</c:v>
                </c:pt>
                <c:pt idx="4">
                  <c:v>131</c:v>
                </c:pt>
                <c:pt idx="5">
                  <c:v>110</c:v>
                </c:pt>
              </c:numCache>
            </c:numRef>
          </c:val>
          <c:extLst>
            <c:ext xmlns:c16="http://schemas.microsoft.com/office/drawing/2014/chart" uri="{C3380CC4-5D6E-409C-BE32-E72D297353CC}">
              <c16:uniqueId val="{00000000-C8A5-4DC3-989D-69B23F22B371}"/>
            </c:ext>
          </c:extLst>
        </c:ser>
        <c:ser>
          <c:idx val="1"/>
          <c:order val="1"/>
          <c:tx>
            <c:strRef>
              <c:f>'City Analysis'!$C$3</c:f>
              <c:strCache>
                <c:ptCount val="1"/>
                <c:pt idx="0">
                  <c:v>Sum of Revenue_INR</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'City Analysis'!$A$4:$A$10</c:f>
              <c:strCache>
                <c:ptCount val="6"/>
                <c:pt idx="0">
                  <c:v>Kolhapur</c:v>
                </c:pt>
                <c:pt idx="1">
                  <c:v>Hubli</c:v>
                </c:pt>
                <c:pt idx="2">
                  <c:v>Goa</c:v>
                </c:pt>
                <c:pt idx="3">
                  <c:v>Sangli</c:v>
                </c:pt>
                <c:pt idx="4">
                  <c:v>Tasgaon</c:v>
                </c:pt>
                <c:pt idx="5">
                  <c:v>Belgaum</c:v>
                </c:pt>
              </c:strCache>
            </c:strRef>
          </c:cat>
          <c:val>
            <c:numRef>
              <c:f>'City Analysis'!$C$4:$C$10</c:f>
              <c:numCache>
                <c:formatCode>General</c:formatCode>
                <c:ptCount val="6"/>
                <c:pt idx="0">
                  <c:v>8496363</c:v>
                </c:pt>
                <c:pt idx="1">
                  <c:v>8771286</c:v>
                </c:pt>
                <c:pt idx="2">
                  <c:v>7005351</c:v>
                </c:pt>
                <c:pt idx="3">
                  <c:v>6737433</c:v>
                </c:pt>
                <c:pt idx="4">
                  <c:v>6138207</c:v>
                </c:pt>
                <c:pt idx="5">
                  <c:v>5474586</c:v>
                </c:pt>
              </c:numCache>
            </c:numRef>
          </c:val>
          <c:extLst>
            <c:ext xmlns:c16="http://schemas.microsoft.com/office/drawing/2014/chart" uri="{C3380CC4-5D6E-409C-BE32-E72D297353CC}">
              <c16:uniqueId val="{00000001-C8A5-4DC3-989D-69B23F22B371}"/>
            </c:ext>
          </c:extLst>
        </c:ser>
        <c:ser>
          <c:idx val="2"/>
          <c:order val="2"/>
          <c:tx>
            <c:strRef>
              <c:f>'City Analysis'!$D$3</c:f>
              <c:strCache>
                <c:ptCount val="1"/>
                <c:pt idx="0">
                  <c:v>Sum of Leads</c:v>
                </c:pt>
              </c:strCache>
            </c:strRef>
          </c:tx>
          <c:spPr>
            <a:pattFill prst="narVert">
              <a:fgClr>
                <a:schemeClr val="accent1">
                  <a:tint val="65000"/>
                </a:schemeClr>
              </a:fgClr>
              <a:bgClr>
                <a:schemeClr val="accent1">
                  <a:tint val="65000"/>
                  <a:lumMod val="20000"/>
                  <a:lumOff val="80000"/>
                </a:schemeClr>
              </a:bgClr>
            </a:pattFill>
            <a:ln>
              <a:noFill/>
            </a:ln>
            <a:effectLst>
              <a:innerShdw blurRad="114300">
                <a:schemeClr val="accent1">
                  <a:tint val="6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'City Analysis'!$A$4:$A$10</c:f>
              <c:strCache>
                <c:ptCount val="6"/>
                <c:pt idx="0">
                  <c:v>Kolhapur</c:v>
                </c:pt>
                <c:pt idx="1">
                  <c:v>Hubli</c:v>
                </c:pt>
                <c:pt idx="2">
                  <c:v>Goa</c:v>
                </c:pt>
                <c:pt idx="3">
                  <c:v>Sangli</c:v>
                </c:pt>
                <c:pt idx="4">
                  <c:v>Tasgaon</c:v>
                </c:pt>
                <c:pt idx="5">
                  <c:v>Belgaum</c:v>
                </c:pt>
              </c:strCache>
            </c:strRef>
          </c:cat>
          <c:val>
            <c:numRef>
              <c:f>'City Analysis'!$D$4:$D$10</c:f>
              <c:numCache>
                <c:formatCode>General</c:formatCode>
                <c:ptCount val="6"/>
                <c:pt idx="0">
                  <c:v>475</c:v>
                </c:pt>
                <c:pt idx="1">
                  <c:v>416</c:v>
                </c:pt>
                <c:pt idx="2">
                  <c:v>424</c:v>
                </c:pt>
                <c:pt idx="3">
                  <c:v>346</c:v>
                </c:pt>
                <c:pt idx="4">
                  <c:v>318</c:v>
                </c:pt>
                <c:pt idx="5">
                  <c:v>264</c:v>
                </c:pt>
              </c:numCache>
            </c:numRef>
          </c:val>
          <c:extLst>
            <c:ext xmlns:c16="http://schemas.microsoft.com/office/drawing/2014/chart" uri="{C3380CC4-5D6E-409C-BE32-E72D297353CC}">
              <c16:uniqueId val="{00000002-C8A5-4DC3-989D-69B23F22B371}"/>
            </c:ext>
          </c:extLst>
        </c:ser>
        <c:dLbls>
          <c:dLblPos val="outEnd"/>
          <c:showLegendKey val="0"/>
          <c:showVal val="1"/>
          <c:showCatName val="0"/>
          <c:showSerName val="0"/>
          <c:showPercent val="0"/>
          <c:showBubbleSize val="0"/>
        </c:dLbls>
        <c:gapWidth val="227"/>
        <c:overlap val="-48"/>
        <c:axId val="1305359392"/>
        <c:axId val="1305350272"/>
      </c:barChart>
      <c:catAx>
        <c:axId val="130535939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350272"/>
        <c:crosses val="autoZero"/>
        <c:auto val="1"/>
        <c:lblAlgn val="ctr"/>
        <c:lblOffset val="100"/>
        <c:noMultiLvlLbl val="0"/>
      </c:catAx>
      <c:valAx>
        <c:axId val="1305350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35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Work.xlsx]Channel Analysis!PivotTable1</c:name>
    <c:fmtId val="4"/>
  </c:pivotSource>
  <c:chart>
    <c:title>
      <c:tx>
        <c:rich>
          <a:bodyPr rot="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mn-lt"/>
                <a:ea typeface="+mn-ea"/>
                <a:cs typeface="+mn-cs"/>
              </a:defRPr>
            </a:pPr>
            <a:r>
              <a:rPr lang="en-US" sz="1100"/>
              <a:t>Marketing Performance by Channel</a:t>
            </a:r>
          </a:p>
        </c:rich>
      </c:tx>
      <c:layout>
        <c:manualLayout>
          <c:xMode val="edge"/>
          <c:yMode val="edge"/>
          <c:x val="0.10766441024711666"/>
          <c:y val="4.1927401472699827E-2"/>
        </c:manualLayout>
      </c:layout>
      <c:overlay val="0"/>
      <c:spPr>
        <a:noFill/>
        <a:ln>
          <a:noFill/>
        </a:ln>
        <a:effectLst/>
      </c:spPr>
      <c:txPr>
        <a:bodyPr rot="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x"/>
          <c:size val="6"/>
          <c:spPr>
            <a:noFill/>
            <a:ln w="9525">
              <a:solidFill>
                <a:schemeClr val="accent4"/>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dLbl>
          <c:idx val="0"/>
          <c:layout>
            <c:manualLayout>
              <c:x val="-6.2789962493832969E-17"/>
              <c:y val="4.7900650279615112E-3"/>
            </c:manualLayout>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404227570712339E-2"/>
          <c:y val="0.32597373158512299"/>
          <c:w val="0.7606719948560613"/>
          <c:h val="0.54930919341716822"/>
        </c:manualLayout>
      </c:layout>
      <c:barChart>
        <c:barDir val="col"/>
        <c:grouping val="clustered"/>
        <c:varyColors val="0"/>
        <c:ser>
          <c:idx val="0"/>
          <c:order val="0"/>
          <c:tx>
            <c:strRef>
              <c:f>'Channel Analysis'!$B$3</c:f>
              <c:strCache>
                <c:ptCount val="1"/>
                <c:pt idx="0">
                  <c:v>Sum of Spend_INR</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'Channel Analysis'!$A$4:$A$8</c:f>
              <c:strCache>
                <c:ptCount val="4"/>
                <c:pt idx="0">
                  <c:v>Social Media</c:v>
                </c:pt>
                <c:pt idx="1">
                  <c:v>Website</c:v>
                </c:pt>
                <c:pt idx="2">
                  <c:v>WhatsApp</c:v>
                </c:pt>
                <c:pt idx="3">
                  <c:v>YouTube</c:v>
                </c:pt>
              </c:strCache>
            </c:strRef>
          </c:cat>
          <c:val>
            <c:numRef>
              <c:f>'Channel Analysis'!$B$4:$B$8</c:f>
              <c:numCache>
                <c:formatCode>General</c:formatCode>
                <c:ptCount val="4"/>
                <c:pt idx="0">
                  <c:v>23689.74</c:v>
                </c:pt>
                <c:pt idx="1">
                  <c:v>22317.620000000006</c:v>
                </c:pt>
                <c:pt idx="2">
                  <c:v>13175.989999999994</c:v>
                </c:pt>
                <c:pt idx="3">
                  <c:v>23566.13</c:v>
                </c:pt>
              </c:numCache>
            </c:numRef>
          </c:val>
          <c:extLst>
            <c:ext xmlns:c16="http://schemas.microsoft.com/office/drawing/2014/chart" uri="{C3380CC4-5D6E-409C-BE32-E72D297353CC}">
              <c16:uniqueId val="{00000000-8CAF-40DE-8114-507E25A308D4}"/>
            </c:ext>
          </c:extLst>
        </c:ser>
        <c:ser>
          <c:idx val="1"/>
          <c:order val="1"/>
          <c:tx>
            <c:strRef>
              <c:f>'Channel Analysis'!$C$3</c:f>
              <c:strCache>
                <c:ptCount val="1"/>
                <c:pt idx="0">
                  <c:v>Sum of Leads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'Channel Analysis'!$A$4:$A$8</c:f>
              <c:strCache>
                <c:ptCount val="4"/>
                <c:pt idx="0">
                  <c:v>Social Media</c:v>
                </c:pt>
                <c:pt idx="1">
                  <c:v>Website</c:v>
                </c:pt>
                <c:pt idx="2">
                  <c:v>WhatsApp</c:v>
                </c:pt>
                <c:pt idx="3">
                  <c:v>YouTube</c:v>
                </c:pt>
              </c:strCache>
            </c:strRef>
          </c:cat>
          <c:val>
            <c:numRef>
              <c:f>'Channel Analysis'!$C$4:$C$8</c:f>
              <c:numCache>
                <c:formatCode>General</c:formatCode>
                <c:ptCount val="4"/>
                <c:pt idx="0">
                  <c:v>386</c:v>
                </c:pt>
                <c:pt idx="1">
                  <c:v>514</c:v>
                </c:pt>
                <c:pt idx="2">
                  <c:v>874</c:v>
                </c:pt>
                <c:pt idx="3">
                  <c:v>469</c:v>
                </c:pt>
              </c:numCache>
            </c:numRef>
          </c:val>
          <c:extLst>
            <c:ext xmlns:c16="http://schemas.microsoft.com/office/drawing/2014/chart" uri="{C3380CC4-5D6E-409C-BE32-E72D297353CC}">
              <c16:uniqueId val="{00000001-8CAF-40DE-8114-507E25A308D4}"/>
            </c:ext>
          </c:extLst>
        </c:ser>
        <c:ser>
          <c:idx val="2"/>
          <c:order val="2"/>
          <c:tx>
            <c:strRef>
              <c:f>'Channel Analysis'!$D$3</c:f>
              <c:strCache>
                <c:ptCount val="1"/>
                <c:pt idx="0">
                  <c:v>Sum of Conversions</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'Channel Analysis'!$A$4:$A$8</c:f>
              <c:strCache>
                <c:ptCount val="4"/>
                <c:pt idx="0">
                  <c:v>Social Media</c:v>
                </c:pt>
                <c:pt idx="1">
                  <c:v>Website</c:v>
                </c:pt>
                <c:pt idx="2">
                  <c:v>WhatsApp</c:v>
                </c:pt>
                <c:pt idx="3">
                  <c:v>YouTube</c:v>
                </c:pt>
              </c:strCache>
            </c:strRef>
          </c:cat>
          <c:val>
            <c:numRef>
              <c:f>'Channel Analysis'!$D$4:$D$8</c:f>
              <c:numCache>
                <c:formatCode>General</c:formatCode>
                <c:ptCount val="4"/>
                <c:pt idx="0">
                  <c:v>167</c:v>
                </c:pt>
                <c:pt idx="1">
                  <c:v>192</c:v>
                </c:pt>
                <c:pt idx="2">
                  <c:v>374</c:v>
                </c:pt>
                <c:pt idx="3">
                  <c:v>180</c:v>
                </c:pt>
              </c:numCache>
            </c:numRef>
          </c:val>
          <c:extLst>
            <c:ext xmlns:c16="http://schemas.microsoft.com/office/drawing/2014/chart" uri="{C3380CC4-5D6E-409C-BE32-E72D297353CC}">
              <c16:uniqueId val="{00000002-8CAF-40DE-8114-507E25A308D4}"/>
            </c:ext>
          </c:extLst>
        </c:ser>
        <c:ser>
          <c:idx val="3"/>
          <c:order val="3"/>
          <c:tx>
            <c:strRef>
              <c:f>'Channel Analysis'!$E$3</c:f>
              <c:strCache>
                <c:ptCount val="1"/>
                <c:pt idx="0">
                  <c:v>Sum of Revenue_INR</c:v>
                </c:pt>
              </c:strCache>
            </c:strRef>
          </c:tx>
          <c:spPr>
            <a:solidFill>
              <a:schemeClr val="accent4"/>
            </a:solidFill>
            <a:ln>
              <a:noFill/>
            </a:ln>
            <a:effectLst/>
          </c:spPr>
          <c:invertIfNegative val="0"/>
          <c:dLbls>
            <c:dLbl>
              <c:idx val="2"/>
              <c:layout>
                <c:manualLayout>
                  <c:x val="-6.2789962493832969E-17"/>
                  <c:y val="4.790065027961511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AF-40DE-8114-507E25A308D4}"/>
                </c:ext>
              </c:extLst>
            </c:dLbl>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'Channel Analysis'!$A$4:$A$8</c:f>
              <c:strCache>
                <c:ptCount val="4"/>
                <c:pt idx="0">
                  <c:v>Social Media</c:v>
                </c:pt>
                <c:pt idx="1">
                  <c:v>Website</c:v>
                </c:pt>
                <c:pt idx="2">
                  <c:v>WhatsApp</c:v>
                </c:pt>
                <c:pt idx="3">
                  <c:v>YouTube</c:v>
                </c:pt>
              </c:strCache>
            </c:strRef>
          </c:cat>
          <c:val>
            <c:numRef>
              <c:f>'Channel Analysis'!$E$4:$E$8</c:f>
              <c:numCache>
                <c:formatCode>General</c:formatCode>
                <c:ptCount val="4"/>
                <c:pt idx="0">
                  <c:v>7715094</c:v>
                </c:pt>
                <c:pt idx="1">
                  <c:v>9395335</c:v>
                </c:pt>
                <c:pt idx="2">
                  <c:v>17063912</c:v>
                </c:pt>
                <c:pt idx="3">
                  <c:v>8448885</c:v>
                </c:pt>
              </c:numCache>
            </c:numRef>
          </c:val>
          <c:extLst>
            <c:ext xmlns:c16="http://schemas.microsoft.com/office/drawing/2014/chart" uri="{C3380CC4-5D6E-409C-BE32-E72D297353CC}">
              <c16:uniqueId val="{00000003-8CAF-40DE-8114-507E25A308D4}"/>
            </c:ext>
          </c:extLst>
        </c:ser>
        <c:dLbls>
          <c:dLblPos val="outEnd"/>
          <c:showLegendKey val="0"/>
          <c:showVal val="1"/>
          <c:showCatName val="0"/>
          <c:showSerName val="0"/>
          <c:showPercent val="0"/>
          <c:showBubbleSize val="0"/>
        </c:dLbls>
        <c:gapWidth val="444"/>
        <c:overlap val="-90"/>
        <c:axId val="916402928"/>
        <c:axId val="916406288"/>
      </c:barChart>
      <c:catAx>
        <c:axId val="916402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16406288"/>
        <c:crosses val="autoZero"/>
        <c:auto val="1"/>
        <c:lblAlgn val="ctr"/>
        <c:lblOffset val="100"/>
        <c:noMultiLvlLbl val="0"/>
      </c:catAx>
      <c:valAx>
        <c:axId val="916406288"/>
        <c:scaling>
          <c:orientation val="minMax"/>
        </c:scaling>
        <c:delete val="1"/>
        <c:axPos val="l"/>
        <c:numFmt formatCode="General" sourceLinked="1"/>
        <c:majorTickMark val="none"/>
        <c:minorTickMark val="none"/>
        <c:tickLblPos val="nextTo"/>
        <c:crossAx val="916402928"/>
        <c:crosses val="autoZero"/>
        <c:crossBetween val="between"/>
      </c:valAx>
      <c:spPr>
        <a:noFill/>
        <a:ln>
          <a:noFill/>
        </a:ln>
        <a:effectLst/>
      </c:spPr>
    </c:plotArea>
    <c:legend>
      <c:legendPos val="r"/>
      <c:layout>
        <c:manualLayout>
          <c:xMode val="edge"/>
          <c:yMode val="edge"/>
          <c:x val="0.80762454010089224"/>
          <c:y val="0.43185076420395718"/>
          <c:w val="0.18649479818448927"/>
          <c:h val="0.451414219553196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Work.xlsx]City Analysis!PivotTable2</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Conversions by City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hade val="65000"/>
              </a:schemeClr>
            </a:solidFill>
            <a:ln>
              <a:noFill/>
            </a:ln>
            <a:effectLst/>
          </c:spPr>
        </c:marker>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tint val="65000"/>
              </a:schemeClr>
            </a:solidFill>
            <a:ln>
              <a:noFill/>
            </a:ln>
            <a:effectLst/>
          </c:spPr>
        </c:marker>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 Analysis'!$B$3</c:f>
              <c:strCache>
                <c:ptCount val="1"/>
                <c:pt idx="0">
                  <c:v>Sum of Conversions</c:v>
                </c:pt>
              </c:strCache>
            </c:strRef>
          </c:tx>
          <c:spPr>
            <a:pattFill prst="narVert">
              <a:fgClr>
                <a:schemeClr val="accent1">
                  <a:shade val="65000"/>
                </a:schemeClr>
              </a:fgClr>
              <a:bgClr>
                <a:schemeClr val="accent1">
                  <a:shade val="65000"/>
                  <a:lumMod val="20000"/>
                  <a:lumOff val="80000"/>
                </a:schemeClr>
              </a:bgClr>
            </a:pattFill>
            <a:ln>
              <a:noFill/>
            </a:ln>
            <a:effectLst>
              <a:innerShdw blurRad="114300">
                <a:schemeClr val="accent1">
                  <a:shade val="6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'City Analysis'!$A$4:$A$10</c:f>
              <c:strCache>
                <c:ptCount val="6"/>
                <c:pt idx="0">
                  <c:v>Kolhapur</c:v>
                </c:pt>
                <c:pt idx="1">
                  <c:v>Hubli</c:v>
                </c:pt>
                <c:pt idx="2">
                  <c:v>Goa</c:v>
                </c:pt>
                <c:pt idx="3">
                  <c:v>Sangli</c:v>
                </c:pt>
                <c:pt idx="4">
                  <c:v>Tasgaon</c:v>
                </c:pt>
                <c:pt idx="5">
                  <c:v>Belgaum</c:v>
                </c:pt>
              </c:strCache>
            </c:strRef>
          </c:cat>
          <c:val>
            <c:numRef>
              <c:f>'City Analysis'!$B$4:$B$10</c:f>
              <c:numCache>
                <c:formatCode>General</c:formatCode>
                <c:ptCount val="6"/>
                <c:pt idx="0">
                  <c:v>188</c:v>
                </c:pt>
                <c:pt idx="1">
                  <c:v>179</c:v>
                </c:pt>
                <c:pt idx="2">
                  <c:v>167</c:v>
                </c:pt>
                <c:pt idx="3">
                  <c:v>138</c:v>
                </c:pt>
                <c:pt idx="4">
                  <c:v>131</c:v>
                </c:pt>
                <c:pt idx="5">
                  <c:v>110</c:v>
                </c:pt>
              </c:numCache>
            </c:numRef>
          </c:val>
          <c:extLst>
            <c:ext xmlns:c16="http://schemas.microsoft.com/office/drawing/2014/chart" uri="{C3380CC4-5D6E-409C-BE32-E72D297353CC}">
              <c16:uniqueId val="{00000000-E906-4474-9F96-B2D904292A36}"/>
            </c:ext>
          </c:extLst>
        </c:ser>
        <c:ser>
          <c:idx val="1"/>
          <c:order val="1"/>
          <c:tx>
            <c:strRef>
              <c:f>'City Analysis'!$C$3</c:f>
              <c:strCache>
                <c:ptCount val="1"/>
                <c:pt idx="0">
                  <c:v>Sum of Revenue_INR</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'City Analysis'!$A$4:$A$10</c:f>
              <c:strCache>
                <c:ptCount val="6"/>
                <c:pt idx="0">
                  <c:v>Kolhapur</c:v>
                </c:pt>
                <c:pt idx="1">
                  <c:v>Hubli</c:v>
                </c:pt>
                <c:pt idx="2">
                  <c:v>Goa</c:v>
                </c:pt>
                <c:pt idx="3">
                  <c:v>Sangli</c:v>
                </c:pt>
                <c:pt idx="4">
                  <c:v>Tasgaon</c:v>
                </c:pt>
                <c:pt idx="5">
                  <c:v>Belgaum</c:v>
                </c:pt>
              </c:strCache>
            </c:strRef>
          </c:cat>
          <c:val>
            <c:numRef>
              <c:f>'City Analysis'!$C$4:$C$10</c:f>
              <c:numCache>
                <c:formatCode>General</c:formatCode>
                <c:ptCount val="6"/>
                <c:pt idx="0">
                  <c:v>8496363</c:v>
                </c:pt>
                <c:pt idx="1">
                  <c:v>8771286</c:v>
                </c:pt>
                <c:pt idx="2">
                  <c:v>7005351</c:v>
                </c:pt>
                <c:pt idx="3">
                  <c:v>6737433</c:v>
                </c:pt>
                <c:pt idx="4">
                  <c:v>6138207</c:v>
                </c:pt>
                <c:pt idx="5">
                  <c:v>5474586</c:v>
                </c:pt>
              </c:numCache>
            </c:numRef>
          </c:val>
          <c:extLst>
            <c:ext xmlns:c16="http://schemas.microsoft.com/office/drawing/2014/chart" uri="{C3380CC4-5D6E-409C-BE32-E72D297353CC}">
              <c16:uniqueId val="{00000001-E906-4474-9F96-B2D904292A36}"/>
            </c:ext>
          </c:extLst>
        </c:ser>
        <c:ser>
          <c:idx val="2"/>
          <c:order val="2"/>
          <c:tx>
            <c:strRef>
              <c:f>'City Analysis'!$D$3</c:f>
              <c:strCache>
                <c:ptCount val="1"/>
                <c:pt idx="0">
                  <c:v>Sum of Leads</c:v>
                </c:pt>
              </c:strCache>
            </c:strRef>
          </c:tx>
          <c:spPr>
            <a:pattFill prst="narVert">
              <a:fgClr>
                <a:schemeClr val="accent1">
                  <a:tint val="65000"/>
                </a:schemeClr>
              </a:fgClr>
              <a:bgClr>
                <a:schemeClr val="accent1">
                  <a:tint val="65000"/>
                  <a:lumMod val="20000"/>
                  <a:lumOff val="80000"/>
                </a:schemeClr>
              </a:bgClr>
            </a:pattFill>
            <a:ln>
              <a:noFill/>
            </a:ln>
            <a:effectLst>
              <a:innerShdw blurRad="114300">
                <a:schemeClr val="accent1">
                  <a:tint val="650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'City Analysis'!$A$4:$A$10</c:f>
              <c:strCache>
                <c:ptCount val="6"/>
                <c:pt idx="0">
                  <c:v>Kolhapur</c:v>
                </c:pt>
                <c:pt idx="1">
                  <c:v>Hubli</c:v>
                </c:pt>
                <c:pt idx="2">
                  <c:v>Goa</c:v>
                </c:pt>
                <c:pt idx="3">
                  <c:v>Sangli</c:v>
                </c:pt>
                <c:pt idx="4">
                  <c:v>Tasgaon</c:v>
                </c:pt>
                <c:pt idx="5">
                  <c:v>Belgaum</c:v>
                </c:pt>
              </c:strCache>
            </c:strRef>
          </c:cat>
          <c:val>
            <c:numRef>
              <c:f>'City Analysis'!$D$4:$D$10</c:f>
              <c:numCache>
                <c:formatCode>General</c:formatCode>
                <c:ptCount val="6"/>
                <c:pt idx="0">
                  <c:v>475</c:v>
                </c:pt>
                <c:pt idx="1">
                  <c:v>416</c:v>
                </c:pt>
                <c:pt idx="2">
                  <c:v>424</c:v>
                </c:pt>
                <c:pt idx="3">
                  <c:v>346</c:v>
                </c:pt>
                <c:pt idx="4">
                  <c:v>318</c:v>
                </c:pt>
                <c:pt idx="5">
                  <c:v>264</c:v>
                </c:pt>
              </c:numCache>
            </c:numRef>
          </c:val>
          <c:extLst>
            <c:ext xmlns:c16="http://schemas.microsoft.com/office/drawing/2014/chart" uri="{C3380CC4-5D6E-409C-BE32-E72D297353CC}">
              <c16:uniqueId val="{00000002-E906-4474-9F96-B2D904292A36}"/>
            </c:ext>
          </c:extLst>
        </c:ser>
        <c:dLbls>
          <c:dLblPos val="outEnd"/>
          <c:showLegendKey val="0"/>
          <c:showVal val="1"/>
          <c:showCatName val="0"/>
          <c:showSerName val="0"/>
          <c:showPercent val="0"/>
          <c:showBubbleSize val="0"/>
        </c:dLbls>
        <c:gapWidth val="227"/>
        <c:overlap val="-48"/>
        <c:axId val="1305359392"/>
        <c:axId val="1305350272"/>
      </c:barChart>
      <c:catAx>
        <c:axId val="130535939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350272"/>
        <c:crosses val="autoZero"/>
        <c:auto val="1"/>
        <c:lblAlgn val="ctr"/>
        <c:lblOffset val="100"/>
        <c:noMultiLvlLbl val="0"/>
      </c:catAx>
      <c:valAx>
        <c:axId val="1305350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35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Conversions</c:v>
          </c:tx>
          <c:spPr>
            <a:ln w="28575" cap="rnd">
              <a:solidFill>
                <a:schemeClr val="accent1"/>
              </a:solidFill>
              <a:round/>
            </a:ln>
            <a:effectLst/>
          </c:spPr>
          <c:marker>
            <c:symbol val="none"/>
          </c:marker>
          <c:cat>
            <c:strLit>
              <c:ptCount val="5"/>
              <c:pt idx="0">
                <c:v>Engineering</c:v>
              </c:pt>
              <c:pt idx="1">
                <c:v>Food Processing</c:v>
              </c:pt>
              <c:pt idx="2">
                <c:v>Manufacturing</c:v>
              </c:pt>
              <c:pt idx="3">
                <c:v>Packaging</c:v>
              </c:pt>
              <c:pt idx="4">
                <c:v>Pharmaceutical</c:v>
              </c:pt>
            </c:strLit>
          </c:cat>
          <c:val>
            <c:numLit>
              <c:formatCode>General</c:formatCode>
              <c:ptCount val="5"/>
              <c:pt idx="0">
                <c:v>138</c:v>
              </c:pt>
              <c:pt idx="1">
                <c:v>222</c:v>
              </c:pt>
              <c:pt idx="2">
                <c:v>163</c:v>
              </c:pt>
              <c:pt idx="3">
                <c:v>240</c:v>
              </c:pt>
              <c:pt idx="4">
                <c:v>150</c:v>
              </c:pt>
            </c:numLit>
          </c:val>
          <c:smooth val="0"/>
          <c:extLst>
            <c:ext xmlns:c16="http://schemas.microsoft.com/office/drawing/2014/chart" uri="{C3380CC4-5D6E-409C-BE32-E72D297353CC}">
              <c16:uniqueId val="{00000000-2726-4FCD-AF80-FB71A1F44B66}"/>
            </c:ext>
          </c:extLst>
        </c:ser>
        <c:ser>
          <c:idx val="1"/>
          <c:order val="1"/>
          <c:tx>
            <c:v>Sum of Leads</c:v>
          </c:tx>
          <c:spPr>
            <a:ln w="28575" cap="rnd">
              <a:solidFill>
                <a:schemeClr val="accent2"/>
              </a:solidFill>
              <a:round/>
            </a:ln>
            <a:effectLst/>
          </c:spPr>
          <c:marker>
            <c:symbol val="none"/>
          </c:marker>
          <c:cat>
            <c:strLit>
              <c:ptCount val="5"/>
              <c:pt idx="0">
                <c:v>Engineering</c:v>
              </c:pt>
              <c:pt idx="1">
                <c:v>Food Processing</c:v>
              </c:pt>
              <c:pt idx="2">
                <c:v>Manufacturing</c:v>
              </c:pt>
              <c:pt idx="3">
                <c:v>Packaging</c:v>
              </c:pt>
              <c:pt idx="4">
                <c:v>Pharmaceutical</c:v>
              </c:pt>
            </c:strLit>
          </c:cat>
          <c:val>
            <c:numLit>
              <c:formatCode>General</c:formatCode>
              <c:ptCount val="5"/>
              <c:pt idx="0">
                <c:v>303</c:v>
              </c:pt>
              <c:pt idx="1">
                <c:v>565</c:v>
              </c:pt>
              <c:pt idx="2">
                <c:v>429</c:v>
              </c:pt>
              <c:pt idx="3">
                <c:v>555</c:v>
              </c:pt>
              <c:pt idx="4">
                <c:v>391</c:v>
              </c:pt>
            </c:numLit>
          </c:val>
          <c:smooth val="0"/>
          <c:extLst>
            <c:ext xmlns:c16="http://schemas.microsoft.com/office/drawing/2014/chart" uri="{C3380CC4-5D6E-409C-BE32-E72D297353CC}">
              <c16:uniqueId val="{00000001-2726-4FCD-AF80-FB71A1F44B66}"/>
            </c:ext>
          </c:extLst>
        </c:ser>
        <c:dLbls>
          <c:showLegendKey val="0"/>
          <c:showVal val="0"/>
          <c:showCatName val="0"/>
          <c:showSerName val="0"/>
          <c:showPercent val="0"/>
          <c:showBubbleSize val="0"/>
        </c:dLbls>
        <c:smooth val="0"/>
        <c:axId val="1305373312"/>
        <c:axId val="1305373792"/>
      </c:lineChart>
      <c:catAx>
        <c:axId val="130537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373792"/>
        <c:crosses val="autoZero"/>
        <c:auto val="1"/>
        <c:lblAlgn val="ctr"/>
        <c:lblOffset val="100"/>
        <c:noMultiLvlLbl val="0"/>
      </c:catAx>
      <c:valAx>
        <c:axId val="130537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37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600074</xdr:colOff>
      <xdr:row>2</xdr:row>
      <xdr:rowOff>6350</xdr:rowOff>
    </xdr:from>
    <xdr:to>
      <xdr:col>13</xdr:col>
      <xdr:colOff>552449</xdr:colOff>
      <xdr:row>16</xdr:row>
      <xdr:rowOff>171450</xdr:rowOff>
    </xdr:to>
    <xdr:graphicFrame macro="">
      <xdr:nvGraphicFramePr>
        <xdr:cNvPr id="2" name="Chart 1">
          <a:extLst>
            <a:ext uri="{FF2B5EF4-FFF2-40B4-BE49-F238E27FC236}">
              <a16:creationId xmlns:a16="http://schemas.microsoft.com/office/drawing/2014/main" id="{2DE4F01D-6919-037C-891E-CD395EA36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581025</xdr:colOff>
      <xdr:row>2</xdr:row>
      <xdr:rowOff>6350</xdr:rowOff>
    </xdr:from>
    <xdr:to>
      <xdr:col>12</xdr:col>
      <xdr:colOff>276225</xdr:colOff>
      <xdr:row>17</xdr:row>
      <xdr:rowOff>120650</xdr:rowOff>
    </xdr:to>
    <xdr:graphicFrame macro="">
      <xdr:nvGraphicFramePr>
        <xdr:cNvPr id="2" name="Chart 1">
          <a:extLst>
            <a:ext uri="{FF2B5EF4-FFF2-40B4-BE49-F238E27FC236}">
              <a16:creationId xmlns:a16="http://schemas.microsoft.com/office/drawing/2014/main" id="{7AE802E9-9994-46BD-7E75-1C0F6E296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724250</xdr:colOff>
      <xdr:row>8</xdr:row>
      <xdr:rowOff>435</xdr:rowOff>
    </xdr:from>
    <xdr:to>
      <xdr:col>12</xdr:col>
      <xdr:colOff>340114</xdr:colOff>
      <xdr:row>22</xdr:row>
      <xdr:rowOff>168490</xdr:rowOff>
    </xdr:to>
    <xdr:graphicFrame macro="">
      <xdr:nvGraphicFramePr>
        <xdr:cNvPr id="2" name="Chart 1">
          <a:extLst>
            <a:ext uri="{FF2B5EF4-FFF2-40B4-BE49-F238E27FC236}">
              <a16:creationId xmlns:a16="http://schemas.microsoft.com/office/drawing/2014/main" id="{0FBBD517-4E86-4594-8F13-2E1B73C1B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9281</xdr:colOff>
      <xdr:row>8</xdr:row>
      <xdr:rowOff>19539</xdr:rowOff>
    </xdr:from>
    <xdr:to>
      <xdr:col>6</xdr:col>
      <xdr:colOff>429847</xdr:colOff>
      <xdr:row>22</xdr:row>
      <xdr:rowOff>146539</xdr:rowOff>
    </xdr:to>
    <xdr:graphicFrame macro="">
      <xdr:nvGraphicFramePr>
        <xdr:cNvPr id="3" name="Chart 2">
          <a:extLst>
            <a:ext uri="{FF2B5EF4-FFF2-40B4-BE49-F238E27FC236}">
              <a16:creationId xmlns:a16="http://schemas.microsoft.com/office/drawing/2014/main" id="{FC27A345-A449-45F0-8BB5-5437C3F8F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214923</xdr:colOff>
      <xdr:row>23</xdr:row>
      <xdr:rowOff>162713</xdr:rowOff>
    </xdr:from>
    <xdr:to>
      <xdr:col>10</xdr:col>
      <xdr:colOff>60786</xdr:colOff>
      <xdr:row>38</xdr:row>
      <xdr:rowOff>19900</xdr:rowOff>
    </xdr:to>
    <xdr:graphicFrame macro="">
      <xdr:nvGraphicFramePr>
        <xdr:cNvPr id="5" name="Chart 4">
          <a:extLst>
            <a:ext uri="{FF2B5EF4-FFF2-40B4-BE49-F238E27FC236}">
              <a16:creationId xmlns:a16="http://schemas.microsoft.com/office/drawing/2014/main" id="{77C4D8E0-5DAD-9396-A4F1-4E80D8A552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566913</xdr:colOff>
      <xdr:row>4</xdr:row>
      <xdr:rowOff>18201</xdr:rowOff>
    </xdr:from>
    <xdr:to>
      <xdr:col>15</xdr:col>
      <xdr:colOff>561269</xdr:colOff>
      <xdr:row>12</xdr:row>
      <xdr:rowOff>80446</xdr:rowOff>
    </xdr:to>
    <mc:AlternateContent xmlns:mc="http://schemas.openxmlformats.org/markup-compatibility/2006">
      <mc:Choice xmlns:a14="http://schemas.microsoft.com/office/drawing/2010/main" Requires="a14">
        <xdr:graphicFrame macro="">
          <xdr:nvGraphicFramePr>
            <xdr:cNvPr id="6" name="Channel">
              <a:extLst>
                <a:ext uri="{FF2B5EF4-FFF2-40B4-BE49-F238E27FC236}">
                  <a16:creationId xmlns:a16="http://schemas.microsoft.com/office/drawing/2014/main" id="{7CD765EE-0FD9-45E8-8589-5B300D24A8F4}"/>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1342375" y="760663"/>
              <a:ext cx="1811432" cy="1547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197773</xdr:colOff>
      <xdr:row>24</xdr:row>
      <xdr:rowOff>15307</xdr:rowOff>
    </xdr:from>
    <xdr:to>
      <xdr:col>12</xdr:col>
      <xdr:colOff>280052</xdr:colOff>
      <xdr:row>38</xdr:row>
      <xdr:rowOff>48846</xdr:rowOff>
    </xdr:to>
    <mc:AlternateContent xmlns:mc="http://schemas.openxmlformats.org/markup-compatibility/2006">
      <mc:Choice xmlns:a14="http://schemas.microsoft.com/office/drawing/2010/main" Requires="a14">
        <xdr:graphicFrame macro="">
          <xdr:nvGraphicFramePr>
            <xdr:cNvPr id="7" name="Source">
              <a:extLst>
                <a:ext uri="{FF2B5EF4-FFF2-40B4-BE49-F238E27FC236}">
                  <a16:creationId xmlns:a16="http://schemas.microsoft.com/office/drawing/2014/main" id="{4EC6CD92-D91C-4B7A-AFD0-E88252318AE4}"/>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dr:sp macro="" textlink="">
          <xdr:nvSpPr>
            <xdr:cNvPr id="0" name=""/>
            <xdr:cNvSpPr>
              <a:spLocks noTextEdit="1"/>
            </xdr:cNvSpPr>
          </xdr:nvSpPr>
          <xdr:spPr>
            <a:xfrm>
              <a:off x="9244081" y="4470076"/>
              <a:ext cx="1811433" cy="26321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605307</xdr:colOff>
      <xdr:row>26</xdr:row>
      <xdr:rowOff>82236</xdr:rowOff>
    </xdr:from>
    <xdr:to>
      <xdr:col>15</xdr:col>
      <xdr:colOff>599663</xdr:colOff>
      <xdr:row>37</xdr:row>
      <xdr:rowOff>185614</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2DB8FFAE-2816-4A10-AFF9-DF9AAFA6350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380769" y="4908236"/>
              <a:ext cx="1811432" cy="2145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984</xdr:colOff>
      <xdr:row>14</xdr:row>
      <xdr:rowOff>126999</xdr:rowOff>
    </xdr:from>
    <xdr:to>
      <xdr:col>15</xdr:col>
      <xdr:colOff>601032</xdr:colOff>
      <xdr:row>24</xdr:row>
      <xdr:rowOff>142677</xdr:rowOff>
    </xdr:to>
    <mc:AlternateContent xmlns:mc="http://schemas.openxmlformats.org/markup-compatibility/2006">
      <mc:Choice xmlns:a14="http://schemas.microsoft.com/office/drawing/2010/main" Requires="a14">
        <xdr:graphicFrame macro="">
          <xdr:nvGraphicFramePr>
            <xdr:cNvPr id="9" name="Audience_Segment">
              <a:extLst>
                <a:ext uri="{FF2B5EF4-FFF2-40B4-BE49-F238E27FC236}">
                  <a16:creationId xmlns:a16="http://schemas.microsoft.com/office/drawing/2014/main" id="{8EB81C6E-58E0-4BDF-B97C-1203D4C2549D}"/>
                </a:ext>
              </a:extLst>
            </xdr:cNvPr>
            <xdr:cNvGraphicFramePr/>
          </xdr:nvGraphicFramePr>
          <xdr:xfrm>
            <a:off x="0" y="0"/>
            <a:ext cx="0" cy="0"/>
          </xdr:xfrm>
          <a:graphic>
            <a:graphicData uri="http://schemas.microsoft.com/office/drawing/2010/slicer">
              <sle:slicer xmlns:sle="http://schemas.microsoft.com/office/drawing/2010/slicer" name="Audience_Segment"/>
            </a:graphicData>
          </a:graphic>
        </xdr:graphicFrame>
      </mc:Choice>
      <mc:Fallback>
        <xdr:sp macro="" textlink="">
          <xdr:nvSpPr>
            <xdr:cNvPr id="0" name=""/>
            <xdr:cNvSpPr>
              <a:spLocks noTextEdit="1"/>
            </xdr:cNvSpPr>
          </xdr:nvSpPr>
          <xdr:spPr>
            <a:xfrm>
              <a:off x="11382138" y="2725614"/>
              <a:ext cx="1811432" cy="1871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1.008537384259" createdVersion="8" refreshedVersion="8" minRefreshableVersion="3" recordCount="208" xr:uid="{6739E3CD-8F51-453D-8C5F-D8038AC8E4FC}">
  <cacheSource type="worksheet">
    <worksheetSource name="MarketingData"/>
  </cacheSource>
  <cacheFields count="17">
    <cacheField name="Date" numFmtId="14">
      <sharedItems containsSemiMixedTypes="0" containsNonDate="0" containsDate="1" containsString="0" minDate="2026-08-01T00:00:00" maxDate="2026-09-01T00:00:00" count="26">
        <d v="2026-08-01T00:00:00"/>
        <d v="2026-08-03T00:00:00"/>
        <d v="2026-08-04T00:00:00"/>
        <d v="2026-08-05T00:00:00"/>
        <d v="2026-08-06T00:00:00"/>
        <d v="2026-08-07T00:00:00"/>
        <d v="2026-08-08T00:00:00"/>
        <d v="2026-08-10T00:00:00"/>
        <d v="2026-08-11T00:00:00"/>
        <d v="2026-08-12T00:00:00"/>
        <d v="2026-08-13T00:00:00"/>
        <d v="2026-08-14T00:00:00"/>
        <d v="2026-08-15T00:00:00"/>
        <d v="2026-08-17T00:00:00"/>
        <d v="2026-08-18T00:00:00"/>
        <d v="2026-08-19T00:00:00"/>
        <d v="2026-08-20T00:00:00"/>
        <d v="2026-08-21T00:00:00"/>
        <d v="2026-08-22T00:00:00"/>
        <d v="2026-08-24T00:00:00"/>
        <d v="2026-08-25T00:00:00"/>
        <d v="2026-08-26T00:00:00"/>
        <d v="2026-08-27T00:00:00"/>
        <d v="2026-08-28T00:00:00"/>
        <d v="2026-08-29T00:00:00"/>
        <d v="2026-08-31T00:00:00"/>
      </sharedItems>
    </cacheField>
    <cacheField name="Campaign_ID" numFmtId="0">
      <sharedItems count="208">
        <s v="SM01F"/>
        <s v="SM01I"/>
        <s v="SM03F"/>
        <s v="SM03I"/>
        <s v="SM04F"/>
        <s v="SM04I"/>
        <s v="SM05F"/>
        <s v="SM05I"/>
        <s v="SM06F"/>
        <s v="SM06I"/>
        <s v="SM07F"/>
        <s v="SM07I"/>
        <s v="SM08F"/>
        <s v="SM08I"/>
        <s v="SM10F"/>
        <s v="SM10I"/>
        <s v="SM11F"/>
        <s v="SM11I"/>
        <s v="SM12F"/>
        <s v="SM12I"/>
        <s v="SM13F"/>
        <s v="SM13I"/>
        <s v="SM14F"/>
        <s v="SM14I"/>
        <s v="SM15F"/>
        <s v="SM15I"/>
        <s v="SM17F"/>
        <s v="SM17I"/>
        <s v="SM18F"/>
        <s v="SM18I"/>
        <s v="SM19F"/>
        <s v="SM19I"/>
        <s v="SM20F"/>
        <s v="SM20I"/>
        <s v="SM21F"/>
        <s v="SM21I"/>
        <s v="SM22F"/>
        <s v="SM22I"/>
        <s v="SM24F"/>
        <s v="SM24I"/>
        <s v="SM25F"/>
        <s v="SM25I"/>
        <s v="SM26F"/>
        <s v="SM26I"/>
        <s v="SM27F"/>
        <s v="SM27I"/>
        <s v="SM28F"/>
        <s v="SM28I"/>
        <s v="SM29F"/>
        <s v="SM29I"/>
        <s v="SM31F"/>
        <s v="SM31I"/>
        <s v="WB011"/>
        <s v="WB012"/>
        <s v="WB031"/>
        <s v="WB032"/>
        <s v="WB041"/>
        <s v="WB042"/>
        <s v="WB051"/>
        <s v="WB052"/>
        <s v="WB061"/>
        <s v="WB062"/>
        <s v="WB071"/>
        <s v="WB072"/>
        <s v="WB081"/>
        <s v="WB082"/>
        <s v="WB101"/>
        <s v="WB102"/>
        <s v="WB111"/>
        <s v="WB112"/>
        <s v="WB121"/>
        <s v="WB122"/>
        <s v="WB131"/>
        <s v="WB132"/>
        <s v="WB141"/>
        <s v="WB142"/>
        <s v="WB151"/>
        <s v="WB152"/>
        <s v="WB171"/>
        <s v="WB172"/>
        <s v="WB181"/>
        <s v="WB182"/>
        <s v="WB191"/>
        <s v="WB192"/>
        <s v="WB201"/>
        <s v="WB202"/>
        <s v="WB211"/>
        <s v="WB212"/>
        <s v="WB221"/>
        <s v="WB222"/>
        <s v="WB241"/>
        <s v="WB242"/>
        <s v="WB251"/>
        <s v="WB252"/>
        <s v="WB261"/>
        <s v="WB262"/>
        <s v="WB271"/>
        <s v="WB272"/>
        <s v="WB281"/>
        <s v="WB282"/>
        <s v="WB291"/>
        <s v="WB292"/>
        <s v="WB311"/>
        <s v="WB312"/>
        <s v="WA011"/>
        <s v="WA012"/>
        <s v="WA031"/>
        <s v="WA032"/>
        <s v="WA041"/>
        <s v="WA042"/>
        <s v="WA051"/>
        <s v="WA052"/>
        <s v="WA061"/>
        <s v="WA062"/>
        <s v="WA071"/>
        <s v="WA072"/>
        <s v="WA081"/>
        <s v="WA082"/>
        <s v="WA101"/>
        <s v="WA102"/>
        <s v="WA111"/>
        <s v="WA112"/>
        <s v="WA121"/>
        <s v="WA122"/>
        <s v="WA131"/>
        <s v="WA132"/>
        <s v="WA141"/>
        <s v="WA142"/>
        <s v="WA151"/>
        <s v="WA152"/>
        <s v="WA171"/>
        <s v="WA172"/>
        <s v="WA181"/>
        <s v="WA182"/>
        <s v="WA191"/>
        <s v="WA192"/>
        <s v="WA201"/>
        <s v="WA202"/>
        <s v="WA211"/>
        <s v="WA212"/>
        <s v="WA221"/>
        <s v="WA222"/>
        <s v="WA241"/>
        <s v="WA242"/>
        <s v="WA251"/>
        <s v="WA252"/>
        <s v="WA261"/>
        <s v="WA262"/>
        <s v="WA271"/>
        <s v="WA272"/>
        <s v="WA281"/>
        <s v="WA282"/>
        <s v="WA291"/>
        <s v="WA292"/>
        <s v="WA311"/>
        <s v="WA312"/>
        <s v="YT011"/>
        <s v="YT012"/>
        <s v="YT031"/>
        <s v="YT032"/>
        <s v="YT041"/>
        <s v="YT042"/>
        <s v="YT051"/>
        <s v="YT052"/>
        <s v="YT061"/>
        <s v="YT062"/>
        <s v="YT071"/>
        <s v="YT072"/>
        <s v="YT081"/>
        <s v="YT082"/>
        <s v="YT101"/>
        <s v="YT102"/>
        <s v="YT111"/>
        <s v="YT112"/>
        <s v="YT121"/>
        <s v="YT122"/>
        <s v="YT131"/>
        <s v="YT132"/>
        <s v="YT141"/>
        <s v="YT142"/>
        <s v="YT151"/>
        <s v="YT152"/>
        <s v="YT171"/>
        <s v="YT172"/>
        <s v="YT181"/>
        <s v="YT182"/>
        <s v="YT191"/>
        <s v="YT192"/>
        <s v="YT201"/>
        <s v="YT202"/>
        <s v="YT211"/>
        <s v="YT212"/>
        <s v="YT221"/>
        <s v="YT222"/>
        <s v="YT241"/>
        <s v="YT242"/>
        <s v="YT251"/>
        <s v="YT252"/>
        <s v="YT261"/>
        <s v="YT262"/>
        <s v="YT271"/>
        <s v="YT272"/>
        <s v="YT281"/>
        <s v="YT282"/>
        <s v="YT291"/>
        <s v="YT292"/>
        <s v="YT311"/>
        <s v="YT312"/>
      </sharedItems>
    </cacheField>
    <cacheField name="Channel" numFmtId="0">
      <sharedItems count="4">
        <s v="Social Media"/>
        <s v="Website"/>
        <s v="WhatsApp"/>
        <s v="YouTube"/>
      </sharedItems>
    </cacheField>
    <cacheField name="Source" numFmtId="0">
      <sharedItems count="8">
        <s v="Facebook"/>
        <s v="Instagram"/>
        <s v="Referral"/>
        <s v="Google"/>
        <s v="Direct"/>
        <s v="YouTube"/>
        <s v="Website"/>
        <s v="YouTube Ads"/>
      </sharedItems>
    </cacheField>
    <cacheField name="City" numFmtId="0">
      <sharedItems count="6">
        <s v="Belgaum"/>
        <s v="Kolhapur"/>
        <s v="Hubli"/>
        <s v="Tasgaon"/>
        <s v="Sangli"/>
        <s v="Goa"/>
      </sharedItems>
    </cacheField>
    <cacheField name="Audience_Segment" numFmtId="0">
      <sharedItems count="5">
        <s v="Engineering"/>
        <s v="Pharmaceutical"/>
        <s v="Manufacturing"/>
        <s v="Packaging"/>
        <s v="Food Processing"/>
      </sharedItems>
    </cacheField>
    <cacheField name="Impressions" numFmtId="0">
      <sharedItems containsString="0" containsBlank="1" containsNumber="1" containsInteger="1" minValue="1902" maxValue="6850"/>
    </cacheField>
    <cacheField name="Clicks" numFmtId="0">
      <sharedItems containsString="0" containsBlank="1" containsNumber="1" containsInteger="1" minValue="21" maxValue="120"/>
    </cacheField>
    <cacheField name="Website_Visits" numFmtId="0">
      <sharedItems containsString="0" containsBlank="1" containsNumber="1" containsInteger="1" minValue="15" maxValue="259"/>
    </cacheField>
    <cacheField name="Leads" numFmtId="0">
      <sharedItems containsSemiMixedTypes="0" containsString="0" containsNumber="1" containsInteger="1" minValue="2" maxValue="30"/>
    </cacheField>
    <cacheField name="Conversions" numFmtId="0">
      <sharedItems containsSemiMixedTypes="0" containsString="0" containsNumber="1" containsInteger="1" minValue="1" maxValue="15"/>
    </cacheField>
    <cacheField name="Spend_INR" numFmtId="0">
      <sharedItems containsSemiMixedTypes="0" containsString="0" containsNumber="1" minValue="151.63999999999999" maxValue="575.74"/>
    </cacheField>
    <cacheField name="Revenue_INR" numFmtId="0">
      <sharedItems containsSemiMixedTypes="0" containsString="0" containsNumber="1" containsInteger="1" minValue="29453" maxValue="828840"/>
    </cacheField>
    <cacheField name="Conversion_Rate" numFmtId="9">
      <sharedItems containsSemiMixedTypes="0" containsString="0" containsNumber="1" minValue="0.16666666666666666" maxValue="0.66666666666666663"/>
    </cacheField>
    <cacheField name="ROI" numFmtId="9">
      <sharedItems containsSemiMixedTypes="0" containsString="0" containsNumber="1" minValue="68.350594302467286" maxValue="3250.4544439620422"/>
    </cacheField>
    <cacheField name="CTR" numFmtId="9">
      <sharedItems containsSemiMixedTypes="0" containsString="0" containsNumber="1" minValue="0" maxValue="4.9212598425196853E-2"/>
    </cacheField>
    <cacheField name="CPL(Cost Per Lead)" numFmtId="9">
      <sharedItems containsSemiMixedTypes="0" containsString="0" containsNumber="1" minValue="5.3743333333333334" maxValue="235.44"/>
    </cacheField>
  </cacheFields>
  <extLst>
    <ext xmlns:x14="http://schemas.microsoft.com/office/spreadsheetml/2009/9/main" uri="{725AE2AE-9491-48be-B2B4-4EB974FC3084}">
      <x14:pivotCacheDefinition pivotCacheId="10934040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x v="0"/>
    <x v="0"/>
    <x v="0"/>
    <x v="0"/>
    <x v="0"/>
    <x v="0"/>
    <n v="1902"/>
    <n v="70"/>
    <n v="56"/>
    <n v="4"/>
    <n v="2"/>
    <n v="382.04"/>
    <n v="138696"/>
    <n v="0.5"/>
    <n v="362.04051931734892"/>
    <n v="3.6803364879074658E-2"/>
    <n v="95.51"/>
  </r>
  <r>
    <x v="0"/>
    <x v="1"/>
    <x v="0"/>
    <x v="1"/>
    <x v="1"/>
    <x v="1"/>
    <n v="3869"/>
    <n v="112"/>
    <n v="89"/>
    <n v="5"/>
    <n v="3"/>
    <n v="402.65"/>
    <n v="182139"/>
    <n v="0.6"/>
    <n v="451.35067676642251"/>
    <n v="2.8948048591367279E-2"/>
    <n v="80.53"/>
  </r>
  <r>
    <x v="1"/>
    <x v="2"/>
    <x v="0"/>
    <x v="0"/>
    <x v="0"/>
    <x v="2"/>
    <n v="3193"/>
    <n v="70"/>
    <n v="56"/>
    <n v="7"/>
    <n v="2"/>
    <n v="498.66"/>
    <n v="99796"/>
    <n v="0.2857142857142857"/>
    <n v="199.12834396181765"/>
    <n v="2.1922956467272159E-2"/>
    <n v="71.237142857142857"/>
  </r>
  <r>
    <x v="1"/>
    <x v="3"/>
    <x v="0"/>
    <x v="1"/>
    <x v="2"/>
    <x v="0"/>
    <n v="3350"/>
    <n v="45"/>
    <n v="36"/>
    <n v="12"/>
    <n v="6"/>
    <n v="409.68"/>
    <n v="292200"/>
    <n v="0.5"/>
    <n v="712.23960164030461"/>
    <n v="1.3432835820895522E-2"/>
    <n v="34.14"/>
  </r>
  <r>
    <x v="2"/>
    <x v="4"/>
    <x v="0"/>
    <x v="0"/>
    <x v="3"/>
    <x v="3"/>
    <n v="2753"/>
    <n v="47"/>
    <n v="37"/>
    <n v="9"/>
    <n v="4"/>
    <n v="394.21"/>
    <n v="195636"/>
    <n v="0.44444444444444442"/>
    <n v="495.27355977778348"/>
    <n v="1.7072284780239737E-2"/>
    <n v="43.801111111111112"/>
  </r>
  <r>
    <x v="2"/>
    <x v="5"/>
    <x v="0"/>
    <x v="1"/>
    <x v="0"/>
    <x v="4"/>
    <n v="4295"/>
    <n v="116"/>
    <n v="92"/>
    <n v="5"/>
    <n v="2"/>
    <n v="375.4"/>
    <n v="99734"/>
    <n v="0.4"/>
    <n v="264.67394778902508"/>
    <n v="2.7008149010477298E-2"/>
    <n v="75.08"/>
  </r>
  <r>
    <x v="3"/>
    <x v="6"/>
    <x v="0"/>
    <x v="0"/>
    <x v="3"/>
    <x v="3"/>
    <n v="2896"/>
    <n v="43"/>
    <n v="34"/>
    <n v="11"/>
    <n v="6"/>
    <n v="505.32"/>
    <n v="273732"/>
    <n v="0.54545454545454541"/>
    <n v="540.70030871526956"/>
    <n v="1.4848066298342542E-2"/>
    <n v="45.938181818181818"/>
  </r>
  <r>
    <x v="3"/>
    <x v="7"/>
    <x v="0"/>
    <x v="1"/>
    <x v="1"/>
    <x v="1"/>
    <n v="4099"/>
    <n v="103"/>
    <n v="82"/>
    <n v="11"/>
    <n v="4"/>
    <n v="426.27"/>
    <n v="252968"/>
    <n v="0.36363636363636365"/>
    <n v="592.44546883430689"/>
    <n v="2.5128080019516955E-2"/>
    <n v="38.75181818181818"/>
  </r>
  <r>
    <x v="4"/>
    <x v="8"/>
    <x v="0"/>
    <x v="0"/>
    <x v="4"/>
    <x v="1"/>
    <n v="2249"/>
    <n v="54"/>
    <n v="43"/>
    <n v="12"/>
    <n v="5"/>
    <n v="416.47"/>
    <n v="145815"/>
    <n v="0.41666666666666669"/>
    <n v="349.12125723341416"/>
    <n v="2.4010671409515339E-2"/>
    <n v="34.705833333333338"/>
  </r>
  <r>
    <x v="4"/>
    <x v="9"/>
    <x v="0"/>
    <x v="1"/>
    <x v="0"/>
    <x v="3"/>
    <n v="3999"/>
    <n v="69"/>
    <n v="55"/>
    <n v="7"/>
    <n v="2"/>
    <n v="429.17"/>
    <n v="106984"/>
    <n v="0.2857142857142857"/>
    <n v="248.2811706316844"/>
    <n v="1.72543135783946E-2"/>
    <n v="61.31"/>
  </r>
  <r>
    <x v="5"/>
    <x v="10"/>
    <x v="0"/>
    <x v="0"/>
    <x v="2"/>
    <x v="4"/>
    <n v="4361"/>
    <n v="73"/>
    <n v="58"/>
    <n v="10"/>
    <n v="5"/>
    <n v="435.75"/>
    <n v="175080"/>
    <n v="0.5"/>
    <n v="400.79001721170397"/>
    <n v="1.6739279981655582E-2"/>
    <n v="43.575000000000003"/>
  </r>
  <r>
    <x v="5"/>
    <x v="11"/>
    <x v="0"/>
    <x v="1"/>
    <x v="4"/>
    <x v="1"/>
    <n v="3059"/>
    <n v="65"/>
    <n v="52"/>
    <n v="11"/>
    <n v="6"/>
    <n v="446.37"/>
    <n v="183678"/>
    <n v="0.54545454545454541"/>
    <n v="410.49270784326905"/>
    <n v="2.1248774109186009E-2"/>
    <n v="40.579090909090908"/>
  </r>
  <r>
    <x v="6"/>
    <x v="12"/>
    <x v="0"/>
    <x v="0"/>
    <x v="2"/>
    <x v="3"/>
    <n v="2885"/>
    <n v="102"/>
    <n v="81"/>
    <n v="8"/>
    <n v="5"/>
    <n v="487.24"/>
    <n v="301715"/>
    <n v="0.625"/>
    <n v="618.23282160742144"/>
    <n v="3.5355285961871749E-2"/>
    <n v="60.905000000000001"/>
  </r>
  <r>
    <x v="6"/>
    <x v="13"/>
    <x v="0"/>
    <x v="1"/>
    <x v="4"/>
    <x v="3"/>
    <n v="2720"/>
    <n v="43"/>
    <n v="34"/>
    <n v="11"/>
    <n v="5"/>
    <n v="433.81"/>
    <n v="317820"/>
    <n v="0.45454545454545453"/>
    <n v="731.62488186072244"/>
    <n v="1.5808823529411764E-2"/>
    <n v="39.437272727272727"/>
  </r>
  <r>
    <x v="7"/>
    <x v="14"/>
    <x v="0"/>
    <x v="0"/>
    <x v="4"/>
    <x v="3"/>
    <n v="2090"/>
    <n v="100"/>
    <n v="80"/>
    <n v="12"/>
    <n v="5"/>
    <n v="466.18"/>
    <n v="301695"/>
    <n v="0.41666666666666669"/>
    <n v="646.16418550774381"/>
    <n v="4.784688995215311E-2"/>
    <n v="38.848333333333336"/>
  </r>
  <r>
    <x v="7"/>
    <x v="15"/>
    <x v="0"/>
    <x v="1"/>
    <x v="4"/>
    <x v="2"/>
    <n v="4499"/>
    <n v="90"/>
    <n v="72"/>
    <n v="8"/>
    <n v="3"/>
    <n v="391.89"/>
    <n v="85650"/>
    <n v="0.375"/>
    <n v="217.55622751282249"/>
    <n v="2.0004445432318291E-2"/>
    <n v="48.986249999999998"/>
  </r>
  <r>
    <x v="8"/>
    <x v="16"/>
    <x v="0"/>
    <x v="0"/>
    <x v="1"/>
    <x v="2"/>
    <n v="3996"/>
    <n v="92"/>
    <n v="73"/>
    <n v="4"/>
    <n v="1"/>
    <n v="414.02"/>
    <n v="41371"/>
    <n v="0.25"/>
    <n v="98.925124390126086"/>
    <n v="2.3023023023023025E-2"/>
    <n v="103.505"/>
  </r>
  <r>
    <x v="8"/>
    <x v="17"/>
    <x v="0"/>
    <x v="1"/>
    <x v="4"/>
    <x v="3"/>
    <n v="2481"/>
    <n v="87"/>
    <n v="69"/>
    <n v="5"/>
    <n v="3"/>
    <n v="448.56"/>
    <n v="86526"/>
    <n v="0.6"/>
    <n v="191.89727126805778"/>
    <n v="3.5066505441354291E-2"/>
    <n v="89.712000000000003"/>
  </r>
  <r>
    <x v="9"/>
    <x v="18"/>
    <x v="0"/>
    <x v="0"/>
    <x v="3"/>
    <x v="2"/>
    <n v="4076"/>
    <n v="119"/>
    <n v="95"/>
    <n v="4"/>
    <n v="1"/>
    <n v="566.21"/>
    <n v="39267"/>
    <n v="0.25"/>
    <n v="68.350594302467286"/>
    <n v="2.9195289499509322E-2"/>
    <n v="141.55250000000001"/>
  </r>
  <r>
    <x v="9"/>
    <x v="19"/>
    <x v="0"/>
    <x v="1"/>
    <x v="2"/>
    <x v="3"/>
    <n v="2032"/>
    <n v="100"/>
    <n v="80"/>
    <n v="4"/>
    <n v="1"/>
    <n v="408.01"/>
    <n v="29453"/>
    <n v="0.25"/>
    <n v="71.186956202053878"/>
    <n v="4.9212598425196853E-2"/>
    <n v="102.0025"/>
  </r>
  <r>
    <x v="10"/>
    <x v="20"/>
    <x v="0"/>
    <x v="0"/>
    <x v="2"/>
    <x v="3"/>
    <n v="3517"/>
    <n v="119"/>
    <n v="95"/>
    <n v="10"/>
    <n v="4"/>
    <n v="412.53"/>
    <n v="168356"/>
    <n v="0.4"/>
    <n v="407.10607713378425"/>
    <n v="3.3835655388114873E-2"/>
    <n v="41.253"/>
  </r>
  <r>
    <x v="10"/>
    <x v="21"/>
    <x v="0"/>
    <x v="1"/>
    <x v="0"/>
    <x v="0"/>
    <n v="3672"/>
    <n v="75"/>
    <n v="60"/>
    <n v="3"/>
    <n v="1"/>
    <n v="542.19000000000005"/>
    <n v="65708"/>
    <n v="0.33333333333333331"/>
    <n v="120.18998874933141"/>
    <n v="2.042483660130719E-2"/>
    <n v="180.73000000000002"/>
  </r>
  <r>
    <x v="11"/>
    <x v="22"/>
    <x v="0"/>
    <x v="0"/>
    <x v="1"/>
    <x v="4"/>
    <n v="2081"/>
    <n v="66"/>
    <n v="52"/>
    <n v="4"/>
    <n v="2"/>
    <n v="480.65"/>
    <n v="121200"/>
    <n v="0.5"/>
    <n v="251.15853531675859"/>
    <n v="3.1715521383950021E-2"/>
    <n v="120.16249999999999"/>
  </r>
  <r>
    <x v="11"/>
    <x v="23"/>
    <x v="0"/>
    <x v="1"/>
    <x v="4"/>
    <x v="3"/>
    <n v="4066"/>
    <n v="54"/>
    <n v="43"/>
    <n v="11"/>
    <n v="4"/>
    <n v="384.51"/>
    <n v="189884"/>
    <n v="0.36363636363636365"/>
    <n v="492.83371043665966"/>
    <n v="1.3280865715691098E-2"/>
    <n v="34.955454545454543"/>
  </r>
  <r>
    <x v="12"/>
    <x v="24"/>
    <x v="0"/>
    <x v="0"/>
    <x v="0"/>
    <x v="3"/>
    <n v="2933"/>
    <n v="40"/>
    <n v="32"/>
    <n v="4"/>
    <n v="2"/>
    <n v="480.43"/>
    <n v="84334"/>
    <n v="0.5"/>
    <n v="174.53858002206357"/>
    <n v="1.3637913399249914E-2"/>
    <n v="120.1075"/>
  </r>
  <r>
    <x v="12"/>
    <x v="25"/>
    <x v="0"/>
    <x v="1"/>
    <x v="0"/>
    <x v="3"/>
    <n v="4034"/>
    <n v="39"/>
    <n v="31"/>
    <n v="11"/>
    <n v="5"/>
    <n v="483.46"/>
    <n v="265830"/>
    <n v="0.45454545454545453"/>
    <n v="548.84900508832163"/>
    <n v="9.6678235002478925E-3"/>
    <n v="43.950909090909086"/>
  </r>
  <r>
    <x v="13"/>
    <x v="26"/>
    <x v="0"/>
    <x v="0"/>
    <x v="1"/>
    <x v="3"/>
    <n v="2221"/>
    <n v="80"/>
    <n v="64"/>
    <n v="8"/>
    <n v="5"/>
    <n v="478.01"/>
    <n v="175640"/>
    <n v="0.625"/>
    <n v="366.4400117152361"/>
    <n v="3.6019810895992793E-2"/>
    <n v="59.751249999999999"/>
  </r>
  <r>
    <x v="13"/>
    <x v="27"/>
    <x v="0"/>
    <x v="1"/>
    <x v="0"/>
    <x v="1"/>
    <n v="3486"/>
    <n v="120"/>
    <n v="96"/>
    <n v="5"/>
    <n v="2"/>
    <n v="535.04999999999995"/>
    <n v="64168"/>
    <n v="0.4"/>
    <n v="118.92897860013083"/>
    <n v="3.4423407917383818E-2"/>
    <n v="107.00999999999999"/>
  </r>
  <r>
    <x v="14"/>
    <x v="28"/>
    <x v="0"/>
    <x v="0"/>
    <x v="3"/>
    <x v="2"/>
    <n v="2732"/>
    <n v="63"/>
    <n v="50"/>
    <n v="5"/>
    <n v="2"/>
    <n v="442.6"/>
    <n v="86516"/>
    <n v="0.4"/>
    <n v="194.47220967013101"/>
    <n v="2.3060029282576867E-2"/>
    <n v="88.52000000000001"/>
  </r>
  <r>
    <x v="14"/>
    <x v="29"/>
    <x v="0"/>
    <x v="1"/>
    <x v="4"/>
    <x v="1"/>
    <n v="2869"/>
    <n v="57"/>
    <n v="45"/>
    <n v="6"/>
    <n v="2"/>
    <n v="412.25"/>
    <n v="128192"/>
    <n v="0.33333333333333331"/>
    <n v="309.95694360218312"/>
    <n v="1.9867549668874173E-2"/>
    <n v="68.708333333333329"/>
  </r>
  <r>
    <x v="15"/>
    <x v="30"/>
    <x v="0"/>
    <x v="0"/>
    <x v="5"/>
    <x v="3"/>
    <n v="2843"/>
    <n v="40"/>
    <n v="32"/>
    <n v="2"/>
    <n v="1"/>
    <n v="470.88"/>
    <n v="60287"/>
    <n v="0.5"/>
    <n v="127.03049609242271"/>
    <n v="1.4069644741470278E-2"/>
    <n v="235.44"/>
  </r>
  <r>
    <x v="15"/>
    <x v="31"/>
    <x v="0"/>
    <x v="1"/>
    <x v="2"/>
    <x v="4"/>
    <n v="2310"/>
    <n v="73"/>
    <n v="58"/>
    <n v="12"/>
    <n v="5"/>
    <n v="495.78"/>
    <n v="256855"/>
    <n v="0.41666666666666669"/>
    <n v="517.08261728992704"/>
    <n v="3.1601731601731603E-2"/>
    <n v="41.314999999999998"/>
  </r>
  <r>
    <x v="16"/>
    <x v="32"/>
    <x v="0"/>
    <x v="0"/>
    <x v="0"/>
    <x v="4"/>
    <n v="4321"/>
    <n v="107"/>
    <n v="85"/>
    <n v="10"/>
    <n v="5"/>
    <n v="430.09"/>
    <n v="224570"/>
    <n v="0.5"/>
    <n v="521.14652747099444"/>
    <n v="2.4762786392038879E-2"/>
    <n v="43.009"/>
  </r>
  <r>
    <x v="16"/>
    <x v="33"/>
    <x v="0"/>
    <x v="1"/>
    <x v="5"/>
    <x v="0"/>
    <n v="3893"/>
    <n v="95"/>
    <n v="76"/>
    <n v="4"/>
    <n v="2"/>
    <n v="479.37"/>
    <n v="87196"/>
    <n v="0.5"/>
    <n v="180.89707324196343"/>
    <n v="2.4402774210120728E-2"/>
    <n v="119.8425"/>
  </r>
  <r>
    <x v="17"/>
    <x v="34"/>
    <x v="0"/>
    <x v="0"/>
    <x v="1"/>
    <x v="1"/>
    <n v="2403"/>
    <n v="38"/>
    <n v="30"/>
    <n v="9"/>
    <n v="4"/>
    <n v="404.62"/>
    <n v="119088"/>
    <n v="0.44444444444444442"/>
    <n v="293.3205971034551"/>
    <n v="1.581356637536413E-2"/>
    <n v="44.957777777777778"/>
  </r>
  <r>
    <x v="17"/>
    <x v="35"/>
    <x v="0"/>
    <x v="1"/>
    <x v="1"/>
    <x v="3"/>
    <n v="4487"/>
    <n v="35"/>
    <n v="28"/>
    <n v="3"/>
    <n v="2"/>
    <n v="489.27"/>
    <n v="78682"/>
    <n v="0.66666666666666663"/>
    <n v="159.81509187156377"/>
    <n v="7.8003120124804995E-3"/>
    <n v="163.09"/>
  </r>
  <r>
    <x v="18"/>
    <x v="36"/>
    <x v="0"/>
    <x v="0"/>
    <x v="1"/>
    <x v="1"/>
    <n v="3975"/>
    <n v="106"/>
    <n v="84"/>
    <n v="9"/>
    <n v="4"/>
    <n v="551.45000000000005"/>
    <n v="232324"/>
    <n v="0.44444444444444442"/>
    <n v="420.29658173905153"/>
    <n v="2.6666666666666668E-2"/>
    <n v="61.272222222222226"/>
  </r>
  <r>
    <x v="18"/>
    <x v="37"/>
    <x v="0"/>
    <x v="1"/>
    <x v="1"/>
    <x v="3"/>
    <n v="3935"/>
    <n v="97"/>
    <n v="77"/>
    <n v="6"/>
    <n v="2"/>
    <n v="508.94"/>
    <n v="87450"/>
    <n v="0.33333333333333331"/>
    <n v="170.82772035996385"/>
    <n v="2.4650571791613722E-2"/>
    <n v="84.823333333333338"/>
  </r>
  <r>
    <x v="19"/>
    <x v="38"/>
    <x v="0"/>
    <x v="0"/>
    <x v="1"/>
    <x v="4"/>
    <n v="2747"/>
    <n v="84"/>
    <n v="67"/>
    <n v="5"/>
    <n v="1"/>
    <n v="469.39"/>
    <n v="51712"/>
    <n v="0.2"/>
    <n v="109.16851658535546"/>
    <n v="3.0578813250819074E-2"/>
    <n v="93.878"/>
  </r>
  <r>
    <x v="19"/>
    <x v="39"/>
    <x v="0"/>
    <x v="1"/>
    <x v="5"/>
    <x v="1"/>
    <n v="4158"/>
    <n v="83"/>
    <n v="66"/>
    <n v="7"/>
    <n v="2"/>
    <n v="402.93"/>
    <n v="101116"/>
    <n v="0.2857142857142857"/>
    <n v="249.95177822450552"/>
    <n v="1.9961519961519961E-2"/>
    <n v="57.561428571428571"/>
  </r>
  <r>
    <x v="20"/>
    <x v="40"/>
    <x v="0"/>
    <x v="0"/>
    <x v="5"/>
    <x v="3"/>
    <n v="3392"/>
    <n v="78"/>
    <n v="62"/>
    <n v="8"/>
    <n v="4"/>
    <n v="420.2"/>
    <n v="222520"/>
    <n v="0.5"/>
    <n v="528.55735364112331"/>
    <n v="2.2995283018867923E-2"/>
    <n v="52.524999999999999"/>
  </r>
  <r>
    <x v="20"/>
    <x v="41"/>
    <x v="0"/>
    <x v="1"/>
    <x v="1"/>
    <x v="4"/>
    <n v="2544"/>
    <n v="41"/>
    <n v="32"/>
    <n v="7"/>
    <n v="2"/>
    <n v="511.22"/>
    <n v="92840"/>
    <n v="0.2857142857142857"/>
    <n v="180.60478854504908"/>
    <n v="1.6116352201257862E-2"/>
    <n v="73.031428571428577"/>
  </r>
  <r>
    <x v="21"/>
    <x v="42"/>
    <x v="0"/>
    <x v="0"/>
    <x v="5"/>
    <x v="2"/>
    <n v="4009"/>
    <n v="41"/>
    <n v="32"/>
    <n v="7"/>
    <n v="2"/>
    <n v="449.99"/>
    <n v="58992"/>
    <n v="0.2857142857142857"/>
    <n v="130.0962465832574"/>
    <n v="1.0226989274133201E-2"/>
    <n v="64.284285714285716"/>
  </r>
  <r>
    <x v="21"/>
    <x v="43"/>
    <x v="0"/>
    <x v="1"/>
    <x v="1"/>
    <x v="4"/>
    <n v="3739"/>
    <n v="120"/>
    <n v="96"/>
    <n v="5"/>
    <n v="2"/>
    <n v="411.44"/>
    <n v="83586"/>
    <n v="0.4"/>
    <n v="202.15477347851447"/>
    <n v="3.2094142818935543E-2"/>
    <n v="82.287999999999997"/>
  </r>
  <r>
    <x v="22"/>
    <x v="44"/>
    <x v="0"/>
    <x v="0"/>
    <x v="2"/>
    <x v="2"/>
    <n v="3077"/>
    <n v="108"/>
    <n v="86"/>
    <n v="8"/>
    <n v="3"/>
    <n v="420.96"/>
    <n v="113991"/>
    <n v="0.375"/>
    <n v="269.78819840364878"/>
    <n v="3.5099122521936948E-2"/>
    <n v="52.62"/>
  </r>
  <r>
    <x v="22"/>
    <x v="45"/>
    <x v="0"/>
    <x v="1"/>
    <x v="2"/>
    <x v="4"/>
    <n v="3222"/>
    <n v="103"/>
    <n v="82"/>
    <n v="7"/>
    <n v="2"/>
    <n v="398.55"/>
    <n v="134874"/>
    <n v="0.2857142857142857"/>
    <n v="337.41174256680466"/>
    <n v="3.1967721911855991E-2"/>
    <n v="56.93571428571429"/>
  </r>
  <r>
    <x v="23"/>
    <x v="46"/>
    <x v="0"/>
    <x v="0"/>
    <x v="3"/>
    <x v="0"/>
    <n v="2426"/>
    <n v="90"/>
    <n v="72"/>
    <n v="10"/>
    <n v="6"/>
    <n v="501.14"/>
    <n v="256200"/>
    <n v="0.6"/>
    <n v="510.23438560083008"/>
    <n v="3.7098103874690848E-2"/>
    <n v="50.113999999999997"/>
  </r>
  <r>
    <x v="23"/>
    <x v="47"/>
    <x v="0"/>
    <x v="1"/>
    <x v="3"/>
    <x v="0"/>
    <n v="2154"/>
    <n v="70"/>
    <n v="56"/>
    <n v="5"/>
    <n v="3"/>
    <n v="488.16"/>
    <n v="187035"/>
    <n v="0.6"/>
    <n v="382.14282202556535"/>
    <n v="3.2497678737233054E-2"/>
    <n v="97.632000000000005"/>
  </r>
  <r>
    <x v="24"/>
    <x v="48"/>
    <x v="0"/>
    <x v="0"/>
    <x v="1"/>
    <x v="4"/>
    <n v="2668"/>
    <n v="80"/>
    <n v="64"/>
    <n v="7"/>
    <n v="2"/>
    <n v="575.74"/>
    <n v="128138"/>
    <n v="0.2857142857142857"/>
    <n v="221.56226769027685"/>
    <n v="2.9985007496251874E-2"/>
    <n v="82.248571428571424"/>
  </r>
  <r>
    <x v="24"/>
    <x v="49"/>
    <x v="0"/>
    <x v="1"/>
    <x v="5"/>
    <x v="4"/>
    <n v="3750"/>
    <n v="117"/>
    <n v="93"/>
    <n v="9"/>
    <n v="5"/>
    <n v="471.18"/>
    <n v="155490"/>
    <n v="0.55555555555555558"/>
    <n v="329.00127339870113"/>
    <n v="3.1199999999999999E-2"/>
    <n v="52.353333333333332"/>
  </r>
  <r>
    <x v="25"/>
    <x v="50"/>
    <x v="0"/>
    <x v="0"/>
    <x v="5"/>
    <x v="3"/>
    <n v="3542"/>
    <n v="105"/>
    <n v="84"/>
    <n v="9"/>
    <n v="3"/>
    <n v="476.39"/>
    <n v="124425"/>
    <n v="0.33333333333333331"/>
    <n v="260.18306429605997"/>
    <n v="2.9644268774703556E-2"/>
    <n v="52.932222222222222"/>
  </r>
  <r>
    <x v="25"/>
    <x v="51"/>
    <x v="0"/>
    <x v="1"/>
    <x v="1"/>
    <x v="3"/>
    <n v="3783"/>
    <n v="70"/>
    <n v="56"/>
    <n v="10"/>
    <n v="5"/>
    <n v="472.46"/>
    <n v="157940"/>
    <n v="0.5"/>
    <n v="333.29285018837578"/>
    <n v="1.8503832936822628E-2"/>
    <n v="47.245999999999995"/>
  </r>
  <r>
    <x v="0"/>
    <x v="52"/>
    <x v="1"/>
    <x v="2"/>
    <x v="3"/>
    <x v="3"/>
    <n v="5557"/>
    <m/>
    <n v="226"/>
    <n v="6"/>
    <n v="2"/>
    <n v="397.94"/>
    <n v="122528"/>
    <n v="0.33333333333333331"/>
    <n v="306.90571442931093"/>
    <n v="0"/>
    <n v="66.323333333333338"/>
  </r>
  <r>
    <x v="0"/>
    <x v="53"/>
    <x v="1"/>
    <x v="3"/>
    <x v="5"/>
    <x v="2"/>
    <n v="3641"/>
    <m/>
    <n v="212"/>
    <n v="11"/>
    <n v="4"/>
    <n v="546.20000000000005"/>
    <n v="166184"/>
    <n v="0.36363636363636365"/>
    <n v="303.25485170267297"/>
    <n v="0"/>
    <n v="49.654545454545456"/>
  </r>
  <r>
    <x v="1"/>
    <x v="54"/>
    <x v="1"/>
    <x v="4"/>
    <x v="4"/>
    <x v="0"/>
    <n v="4483"/>
    <m/>
    <n v="128"/>
    <n v="16"/>
    <n v="6"/>
    <n v="387.35"/>
    <n v="247590"/>
    <n v="0.375"/>
    <n v="638.18936362462887"/>
    <n v="0"/>
    <n v="24.209375000000001"/>
  </r>
  <r>
    <x v="1"/>
    <x v="55"/>
    <x v="1"/>
    <x v="2"/>
    <x v="2"/>
    <x v="2"/>
    <n v="5932"/>
    <m/>
    <n v="166"/>
    <n v="17"/>
    <n v="7"/>
    <n v="487.17"/>
    <n v="435855"/>
    <n v="0.41176470588235292"/>
    <n v="893.66715930783914"/>
    <n v="0"/>
    <n v="28.657058823529411"/>
  </r>
  <r>
    <x v="2"/>
    <x v="56"/>
    <x v="1"/>
    <x v="4"/>
    <x v="1"/>
    <x v="2"/>
    <n v="3845"/>
    <m/>
    <n v="259"/>
    <n v="5"/>
    <n v="1"/>
    <n v="417.38"/>
    <n v="29919"/>
    <n v="0.2"/>
    <n v="70.682878911303845"/>
    <n v="0"/>
    <n v="83.475999999999999"/>
  </r>
  <r>
    <x v="2"/>
    <x v="57"/>
    <x v="1"/>
    <x v="4"/>
    <x v="2"/>
    <x v="3"/>
    <n v="2470"/>
    <m/>
    <n v="206"/>
    <n v="5"/>
    <n v="2"/>
    <n v="492.39"/>
    <n v="131926"/>
    <n v="0.4"/>
    <n v="266.92989297101889"/>
    <n v="0"/>
    <n v="98.477999999999994"/>
  </r>
  <r>
    <x v="3"/>
    <x v="58"/>
    <x v="1"/>
    <x v="3"/>
    <x v="3"/>
    <x v="1"/>
    <n v="3919"/>
    <m/>
    <n v="105"/>
    <n v="6"/>
    <n v="3"/>
    <n v="367.6"/>
    <n v="186909"/>
    <n v="0.5"/>
    <n v="507.45756256800865"/>
    <n v="0"/>
    <n v="61.266666666666673"/>
  </r>
  <r>
    <x v="3"/>
    <x v="59"/>
    <x v="1"/>
    <x v="3"/>
    <x v="2"/>
    <x v="4"/>
    <n v="2374"/>
    <m/>
    <n v="110"/>
    <n v="13"/>
    <n v="3"/>
    <n v="487.52"/>
    <n v="138369"/>
    <n v="0.23076923076923078"/>
    <n v="282.82220216606504"/>
    <n v="0"/>
    <n v="37.501538461538459"/>
  </r>
  <r>
    <x v="4"/>
    <x v="60"/>
    <x v="1"/>
    <x v="4"/>
    <x v="0"/>
    <x v="1"/>
    <n v="2743"/>
    <m/>
    <n v="237"/>
    <n v="4"/>
    <n v="2"/>
    <n v="417.52"/>
    <n v="118020"/>
    <n v="0.5"/>
    <n v="281.66909369611039"/>
    <n v="0"/>
    <n v="104.38"/>
  </r>
  <r>
    <x v="4"/>
    <x v="61"/>
    <x v="1"/>
    <x v="2"/>
    <x v="3"/>
    <x v="1"/>
    <n v="4029"/>
    <m/>
    <n v="179"/>
    <n v="10"/>
    <n v="3"/>
    <n v="513.71"/>
    <n v="106617"/>
    <n v="0.3"/>
    <n v="206.54316637791749"/>
    <n v="0"/>
    <n v="51.371000000000002"/>
  </r>
  <r>
    <x v="5"/>
    <x v="62"/>
    <x v="1"/>
    <x v="2"/>
    <x v="2"/>
    <x v="2"/>
    <n v="5560"/>
    <m/>
    <n v="112"/>
    <n v="9"/>
    <n v="3"/>
    <n v="452.75"/>
    <n v="154464"/>
    <n v="0.33333333333333331"/>
    <n v="340.16841524019878"/>
    <n v="0"/>
    <n v="50.305555555555557"/>
  </r>
  <r>
    <x v="5"/>
    <x v="63"/>
    <x v="1"/>
    <x v="4"/>
    <x v="1"/>
    <x v="4"/>
    <n v="5607"/>
    <m/>
    <n v="250"/>
    <n v="11"/>
    <n v="5"/>
    <n v="462.39"/>
    <n v="304965"/>
    <n v="0.45454545454545453"/>
    <n v="658.54064750535258"/>
    <n v="0"/>
    <n v="42.035454545454542"/>
  </r>
  <r>
    <x v="6"/>
    <x v="64"/>
    <x v="1"/>
    <x v="3"/>
    <x v="4"/>
    <x v="1"/>
    <n v="4653"/>
    <m/>
    <n v="169"/>
    <n v="12"/>
    <n v="2"/>
    <n v="396.72"/>
    <n v="79450"/>
    <n v="0.16666666666666666"/>
    <n v="199.26719096592052"/>
    <n v="0"/>
    <n v="33.06"/>
  </r>
  <r>
    <x v="6"/>
    <x v="65"/>
    <x v="1"/>
    <x v="4"/>
    <x v="2"/>
    <x v="3"/>
    <n v="2780"/>
    <m/>
    <n v="196"/>
    <n v="17"/>
    <n v="6"/>
    <n v="447.22"/>
    <n v="329610"/>
    <n v="0.35294117647058826"/>
    <n v="736.01981127856538"/>
    <n v="0"/>
    <n v="26.307058823529413"/>
  </r>
  <r>
    <x v="7"/>
    <x v="66"/>
    <x v="1"/>
    <x v="2"/>
    <x v="2"/>
    <x v="0"/>
    <n v="4005"/>
    <m/>
    <n v="219"/>
    <n v="8"/>
    <n v="4"/>
    <n v="428.28"/>
    <n v="178264"/>
    <n v="0.5"/>
    <n v="415.23237134584855"/>
    <n v="0"/>
    <n v="53.534999999999997"/>
  </r>
  <r>
    <x v="7"/>
    <x v="67"/>
    <x v="1"/>
    <x v="2"/>
    <x v="1"/>
    <x v="3"/>
    <n v="3568"/>
    <m/>
    <n v="231"/>
    <n v="16"/>
    <n v="6"/>
    <n v="445.53"/>
    <n v="276528"/>
    <n v="0.375"/>
    <n v="619.67200861894821"/>
    <n v="0"/>
    <n v="27.845624999999998"/>
  </r>
  <r>
    <x v="8"/>
    <x v="68"/>
    <x v="1"/>
    <x v="4"/>
    <x v="0"/>
    <x v="3"/>
    <n v="5951"/>
    <m/>
    <n v="211"/>
    <n v="15"/>
    <n v="8"/>
    <n v="438.12"/>
    <n v="547960"/>
    <n v="0.53333333333333333"/>
    <n v="1249.7075687026386"/>
    <n v="0"/>
    <n v="29.208000000000002"/>
  </r>
  <r>
    <x v="8"/>
    <x v="69"/>
    <x v="1"/>
    <x v="3"/>
    <x v="5"/>
    <x v="3"/>
    <n v="3923"/>
    <m/>
    <n v="202"/>
    <n v="5"/>
    <n v="2"/>
    <n v="356.55"/>
    <n v="68894"/>
    <n v="0.4"/>
    <n v="192.22395175992145"/>
    <n v="0"/>
    <n v="71.31"/>
  </r>
  <r>
    <x v="9"/>
    <x v="70"/>
    <x v="1"/>
    <x v="2"/>
    <x v="0"/>
    <x v="1"/>
    <n v="2147"/>
    <m/>
    <n v="174"/>
    <n v="17"/>
    <n v="7"/>
    <n v="362.69"/>
    <n v="320264"/>
    <n v="0.41176470588235292"/>
    <n v="882.02407014254595"/>
    <n v="0"/>
    <n v="21.334705882352942"/>
  </r>
  <r>
    <x v="9"/>
    <x v="71"/>
    <x v="1"/>
    <x v="2"/>
    <x v="5"/>
    <x v="3"/>
    <n v="3226"/>
    <m/>
    <n v="113"/>
    <n v="10"/>
    <n v="5"/>
    <n v="428.43"/>
    <n v="157930"/>
    <n v="0.5"/>
    <n v="367.6249795765936"/>
    <n v="0"/>
    <n v="42.843000000000004"/>
  </r>
  <r>
    <x v="10"/>
    <x v="72"/>
    <x v="1"/>
    <x v="3"/>
    <x v="2"/>
    <x v="3"/>
    <n v="2717"/>
    <m/>
    <n v="181"/>
    <n v="9"/>
    <n v="3"/>
    <n v="424.42"/>
    <n v="156012"/>
    <n v="0.33333333333333331"/>
    <n v="366.58870929739402"/>
    <n v="0"/>
    <n v="47.157777777777781"/>
  </r>
  <r>
    <x v="10"/>
    <x v="73"/>
    <x v="1"/>
    <x v="4"/>
    <x v="3"/>
    <x v="2"/>
    <n v="5691"/>
    <m/>
    <n v="239"/>
    <n v="6"/>
    <n v="2"/>
    <n v="510.17"/>
    <n v="110236"/>
    <n v="0.33333333333333331"/>
    <n v="215.07699394319539"/>
    <n v="0"/>
    <n v="85.028333333333336"/>
  </r>
  <r>
    <x v="11"/>
    <x v="74"/>
    <x v="1"/>
    <x v="3"/>
    <x v="5"/>
    <x v="4"/>
    <n v="3575"/>
    <m/>
    <n v="178"/>
    <n v="13"/>
    <n v="4"/>
    <n v="545.82000000000005"/>
    <n v="165560"/>
    <n v="0.30769230769230771"/>
    <n v="302.32343996189218"/>
    <n v="0"/>
    <n v="41.986153846153847"/>
  </r>
  <r>
    <x v="11"/>
    <x v="75"/>
    <x v="1"/>
    <x v="2"/>
    <x v="4"/>
    <x v="0"/>
    <n v="5187"/>
    <m/>
    <n v="165"/>
    <n v="4"/>
    <n v="2"/>
    <n v="465.82"/>
    <n v="85976"/>
    <n v="0.5"/>
    <n v="183.56914688076938"/>
    <n v="0"/>
    <n v="116.455"/>
  </r>
  <r>
    <x v="12"/>
    <x v="76"/>
    <x v="1"/>
    <x v="2"/>
    <x v="2"/>
    <x v="4"/>
    <n v="5094"/>
    <m/>
    <n v="148"/>
    <n v="13"/>
    <n v="6"/>
    <n v="421.9"/>
    <n v="224760"/>
    <n v="0.46153846153846156"/>
    <n v="531.7328750888837"/>
    <n v="0"/>
    <n v="32.45384615384615"/>
  </r>
  <r>
    <x v="12"/>
    <x v="77"/>
    <x v="1"/>
    <x v="2"/>
    <x v="3"/>
    <x v="4"/>
    <n v="3701"/>
    <m/>
    <n v="202"/>
    <n v="4"/>
    <n v="2"/>
    <n v="473.24"/>
    <n v="61812"/>
    <n v="0.5"/>
    <n v="129.61448736370551"/>
    <n v="0"/>
    <n v="118.31"/>
  </r>
  <r>
    <x v="13"/>
    <x v="78"/>
    <x v="1"/>
    <x v="3"/>
    <x v="0"/>
    <x v="4"/>
    <n v="3918"/>
    <m/>
    <n v="132"/>
    <n v="8"/>
    <n v="4"/>
    <n v="494.42"/>
    <n v="177368"/>
    <n v="0.5"/>
    <n v="357.73953319040487"/>
    <n v="0"/>
    <n v="61.802500000000002"/>
  </r>
  <r>
    <x v="13"/>
    <x v="79"/>
    <x v="1"/>
    <x v="2"/>
    <x v="5"/>
    <x v="4"/>
    <n v="5067"/>
    <m/>
    <n v="113"/>
    <n v="16"/>
    <n v="5"/>
    <n v="426.45"/>
    <n v="165495"/>
    <n v="0.3125"/>
    <n v="387.07597608160393"/>
    <n v="0"/>
    <n v="26.653124999999999"/>
  </r>
  <r>
    <x v="14"/>
    <x v="80"/>
    <x v="1"/>
    <x v="3"/>
    <x v="3"/>
    <x v="0"/>
    <n v="4652"/>
    <m/>
    <n v="149"/>
    <n v="11"/>
    <n v="2"/>
    <n v="390.74"/>
    <n v="123584"/>
    <n v="0.18181818181818182"/>
    <n v="315.28192660080867"/>
    <n v="0"/>
    <n v="35.521818181818183"/>
  </r>
  <r>
    <x v="14"/>
    <x v="81"/>
    <x v="1"/>
    <x v="3"/>
    <x v="4"/>
    <x v="2"/>
    <n v="5634"/>
    <m/>
    <n v="119"/>
    <n v="6"/>
    <n v="1"/>
    <n v="444.09"/>
    <n v="57284"/>
    <n v="0.16666666666666666"/>
    <n v="127.99187101713618"/>
    <n v="0"/>
    <n v="74.015000000000001"/>
  </r>
  <r>
    <x v="15"/>
    <x v="82"/>
    <x v="1"/>
    <x v="2"/>
    <x v="3"/>
    <x v="2"/>
    <n v="3517"/>
    <m/>
    <n v="196"/>
    <n v="14"/>
    <n v="3"/>
    <n v="404.04"/>
    <n v="155238"/>
    <n v="0.21428571428571427"/>
    <n v="383.21443421443416"/>
    <n v="0"/>
    <n v="28.860000000000003"/>
  </r>
  <r>
    <x v="15"/>
    <x v="83"/>
    <x v="1"/>
    <x v="3"/>
    <x v="5"/>
    <x v="4"/>
    <n v="5965"/>
    <m/>
    <n v="184"/>
    <n v="12"/>
    <n v="6"/>
    <n v="371.59"/>
    <n v="173808"/>
    <n v="0.5"/>
    <n v="466.74132780752984"/>
    <n v="0"/>
    <n v="30.965833333333332"/>
  </r>
  <r>
    <x v="16"/>
    <x v="84"/>
    <x v="1"/>
    <x v="3"/>
    <x v="4"/>
    <x v="4"/>
    <n v="2515"/>
    <m/>
    <n v="259"/>
    <n v="7"/>
    <n v="3"/>
    <n v="367.77"/>
    <n v="79197"/>
    <n v="0.42857142857142855"/>
    <n v="214.34382902357453"/>
    <n v="0"/>
    <n v="52.538571428571423"/>
  </r>
  <r>
    <x v="16"/>
    <x v="85"/>
    <x v="1"/>
    <x v="3"/>
    <x v="4"/>
    <x v="4"/>
    <n v="2532"/>
    <m/>
    <n v="149"/>
    <n v="9"/>
    <n v="4"/>
    <n v="430.98"/>
    <n v="256232"/>
    <n v="0.44444444444444442"/>
    <n v="593.53338902037217"/>
    <n v="0"/>
    <n v="47.88666666666667"/>
  </r>
  <r>
    <x v="17"/>
    <x v="86"/>
    <x v="1"/>
    <x v="4"/>
    <x v="4"/>
    <x v="3"/>
    <n v="2214"/>
    <m/>
    <n v="93"/>
    <n v="9"/>
    <n v="4"/>
    <n v="381.41"/>
    <n v="184872"/>
    <n v="0.44444444444444442"/>
    <n v="483.70674602134181"/>
    <n v="0"/>
    <n v="42.378888888888895"/>
  </r>
  <r>
    <x v="17"/>
    <x v="87"/>
    <x v="1"/>
    <x v="3"/>
    <x v="5"/>
    <x v="0"/>
    <n v="5872"/>
    <m/>
    <n v="211"/>
    <n v="11"/>
    <n v="5"/>
    <n v="361.06"/>
    <n v="160730"/>
    <n v="0.45454545454545453"/>
    <n v="444.16146900792114"/>
    <n v="0"/>
    <n v="32.823636363636361"/>
  </r>
  <r>
    <x v="18"/>
    <x v="88"/>
    <x v="1"/>
    <x v="4"/>
    <x v="5"/>
    <x v="2"/>
    <n v="4917"/>
    <m/>
    <n v="254"/>
    <n v="4"/>
    <n v="1"/>
    <n v="492.69"/>
    <n v="51320"/>
    <n v="0.25"/>
    <n v="103.16286102823275"/>
    <n v="0"/>
    <n v="123.1725"/>
  </r>
  <r>
    <x v="18"/>
    <x v="89"/>
    <x v="1"/>
    <x v="4"/>
    <x v="0"/>
    <x v="4"/>
    <n v="4446"/>
    <m/>
    <n v="106"/>
    <n v="6"/>
    <n v="2"/>
    <n v="416.98"/>
    <n v="121874"/>
    <n v="0.33333333333333331"/>
    <n v="291.27780708906903"/>
    <n v="0"/>
    <n v="69.49666666666667"/>
  </r>
  <r>
    <x v="19"/>
    <x v="90"/>
    <x v="1"/>
    <x v="4"/>
    <x v="0"/>
    <x v="3"/>
    <n v="3849"/>
    <m/>
    <n v="119"/>
    <n v="17"/>
    <n v="7"/>
    <n v="390.22"/>
    <n v="427924"/>
    <n v="0.41176470588235292"/>
    <n v="1095.62241812311"/>
    <n v="0"/>
    <n v="22.954117647058826"/>
  </r>
  <r>
    <x v="19"/>
    <x v="91"/>
    <x v="1"/>
    <x v="3"/>
    <x v="3"/>
    <x v="4"/>
    <n v="4813"/>
    <m/>
    <n v="196"/>
    <n v="15"/>
    <n v="3"/>
    <n v="486.94"/>
    <n v="205764"/>
    <n v="0.2"/>
    <n v="421.56540846921592"/>
    <n v="0"/>
    <n v="32.462666666666664"/>
  </r>
  <r>
    <x v="20"/>
    <x v="92"/>
    <x v="1"/>
    <x v="2"/>
    <x v="2"/>
    <x v="2"/>
    <n v="5918"/>
    <m/>
    <n v="200"/>
    <n v="5"/>
    <n v="2"/>
    <n v="349.81"/>
    <n v="67054"/>
    <n v="0.4"/>
    <n v="190.68691575426661"/>
    <n v="0"/>
    <n v="69.962000000000003"/>
  </r>
  <r>
    <x v="20"/>
    <x v="93"/>
    <x v="1"/>
    <x v="3"/>
    <x v="2"/>
    <x v="3"/>
    <n v="4689"/>
    <m/>
    <n v="103"/>
    <n v="8"/>
    <n v="3"/>
    <n v="478.68"/>
    <n v="188622"/>
    <n v="0.375"/>
    <n v="393.04612684883432"/>
    <n v="0"/>
    <n v="59.835000000000001"/>
  </r>
  <r>
    <x v="21"/>
    <x v="94"/>
    <x v="1"/>
    <x v="2"/>
    <x v="2"/>
    <x v="0"/>
    <n v="4764"/>
    <m/>
    <n v="119"/>
    <n v="16"/>
    <n v="5"/>
    <n v="422.62"/>
    <n v="265610"/>
    <n v="0.3125"/>
    <n v="627.48421750035493"/>
    <n v="0"/>
    <n v="26.41375"/>
  </r>
  <r>
    <x v="21"/>
    <x v="95"/>
    <x v="1"/>
    <x v="3"/>
    <x v="3"/>
    <x v="2"/>
    <n v="5562"/>
    <m/>
    <n v="136"/>
    <n v="8"/>
    <n v="4"/>
    <n v="344.72"/>
    <n v="189080"/>
    <n v="0.5"/>
    <n v="547.50313297748892"/>
    <n v="0"/>
    <n v="43.09"/>
  </r>
  <r>
    <x v="22"/>
    <x v="96"/>
    <x v="1"/>
    <x v="4"/>
    <x v="5"/>
    <x v="1"/>
    <n v="2644"/>
    <m/>
    <n v="252"/>
    <n v="4"/>
    <n v="1"/>
    <n v="407.74"/>
    <n v="49654"/>
    <n v="0.25"/>
    <n v="120.77858439201452"/>
    <n v="0"/>
    <n v="101.935"/>
  </r>
  <r>
    <x v="22"/>
    <x v="97"/>
    <x v="1"/>
    <x v="2"/>
    <x v="3"/>
    <x v="1"/>
    <n v="3736"/>
    <m/>
    <n v="129"/>
    <n v="6"/>
    <n v="3"/>
    <n v="323.98"/>
    <n v="91038"/>
    <n v="0.5"/>
    <n v="279.99882708809184"/>
    <n v="0"/>
    <n v="53.99666666666667"/>
  </r>
  <r>
    <x v="23"/>
    <x v="98"/>
    <x v="1"/>
    <x v="4"/>
    <x v="0"/>
    <x v="0"/>
    <n v="4158"/>
    <m/>
    <n v="221"/>
    <n v="5"/>
    <n v="2"/>
    <n v="369.98"/>
    <n v="138894"/>
    <n v="0.4"/>
    <n v="374.40948159359959"/>
    <n v="0"/>
    <n v="73.996000000000009"/>
  </r>
  <r>
    <x v="23"/>
    <x v="99"/>
    <x v="1"/>
    <x v="3"/>
    <x v="3"/>
    <x v="4"/>
    <n v="2031"/>
    <m/>
    <n v="142"/>
    <n v="8"/>
    <n v="4"/>
    <n v="381.39"/>
    <n v="166980"/>
    <n v="0.5"/>
    <n v="436.81955478643908"/>
    <n v="0"/>
    <n v="47.673749999999998"/>
  </r>
  <r>
    <x v="24"/>
    <x v="100"/>
    <x v="1"/>
    <x v="4"/>
    <x v="3"/>
    <x v="2"/>
    <n v="5529"/>
    <m/>
    <n v="226"/>
    <n v="15"/>
    <n v="4"/>
    <n v="501.46"/>
    <n v="275124"/>
    <n v="0.26666666666666666"/>
    <n v="547.6459538148606"/>
    <n v="0"/>
    <n v="33.430666666666667"/>
  </r>
  <r>
    <x v="24"/>
    <x v="101"/>
    <x v="1"/>
    <x v="4"/>
    <x v="3"/>
    <x v="2"/>
    <n v="2085"/>
    <m/>
    <n v="237"/>
    <n v="10"/>
    <n v="4"/>
    <n v="470.95"/>
    <n v="209492"/>
    <n v="0.4"/>
    <n v="443.82853806136529"/>
    <n v="0"/>
    <n v="47.094999999999999"/>
  </r>
  <r>
    <x v="25"/>
    <x v="102"/>
    <x v="1"/>
    <x v="3"/>
    <x v="5"/>
    <x v="0"/>
    <n v="3621"/>
    <m/>
    <n v="112"/>
    <n v="10"/>
    <n v="5"/>
    <n v="424.33"/>
    <n v="317960"/>
    <n v="0.5"/>
    <n v="748.32246129191901"/>
    <n v="0"/>
    <n v="42.433"/>
  </r>
  <r>
    <x v="25"/>
    <x v="103"/>
    <x v="1"/>
    <x v="2"/>
    <x v="3"/>
    <x v="4"/>
    <n v="5924"/>
    <m/>
    <n v="109"/>
    <n v="12"/>
    <n v="5"/>
    <n v="407.75"/>
    <n v="188535"/>
    <n v="0.41666666666666669"/>
    <n v="461.37890864500309"/>
    <n v="0"/>
    <n v="33.979166666666664"/>
  </r>
  <r>
    <x v="0"/>
    <x v="104"/>
    <x v="2"/>
    <x v="5"/>
    <x v="4"/>
    <x v="3"/>
    <m/>
    <n v="53"/>
    <m/>
    <n v="10"/>
    <n v="4"/>
    <n v="302.04000000000002"/>
    <n v="271836"/>
    <n v="0.4"/>
    <n v="899"/>
    <n v="0"/>
    <n v="30.204000000000001"/>
  </r>
  <r>
    <x v="0"/>
    <x v="105"/>
    <x v="2"/>
    <x v="0"/>
    <x v="0"/>
    <x v="4"/>
    <m/>
    <n v="69"/>
    <m/>
    <n v="23"/>
    <n v="11"/>
    <n v="347.31"/>
    <n v="507991"/>
    <n v="0.47826086956521741"/>
    <n v="1461.6443235150155"/>
    <n v="0"/>
    <n v="15.100434782608696"/>
  </r>
  <r>
    <x v="1"/>
    <x v="106"/>
    <x v="2"/>
    <x v="5"/>
    <x v="4"/>
    <x v="4"/>
    <m/>
    <n v="59"/>
    <m/>
    <n v="30"/>
    <n v="9"/>
    <n v="161.22999999999999"/>
    <n v="524232"/>
    <n v="0.3"/>
    <n v="3250.4544439620422"/>
    <n v="0"/>
    <n v="5.3743333333333334"/>
  </r>
  <r>
    <x v="1"/>
    <x v="107"/>
    <x v="2"/>
    <x v="5"/>
    <x v="2"/>
    <x v="0"/>
    <m/>
    <n v="75"/>
    <m/>
    <n v="15"/>
    <n v="8"/>
    <n v="321.06"/>
    <n v="522440"/>
    <n v="0.53333333333333333"/>
    <n v="1626.2347847754313"/>
    <n v="0"/>
    <n v="21.404"/>
  </r>
  <r>
    <x v="2"/>
    <x v="108"/>
    <x v="2"/>
    <x v="5"/>
    <x v="3"/>
    <x v="0"/>
    <m/>
    <n v="78"/>
    <m/>
    <n v="12"/>
    <n v="7"/>
    <n v="264.33"/>
    <n v="261352"/>
    <n v="0.58333333333333337"/>
    <n v="987.7337797450158"/>
    <n v="0"/>
    <n v="22.0275"/>
  </r>
  <r>
    <x v="2"/>
    <x v="109"/>
    <x v="2"/>
    <x v="6"/>
    <x v="2"/>
    <x v="3"/>
    <m/>
    <n v="33"/>
    <m/>
    <n v="17"/>
    <n v="10"/>
    <n v="218.69"/>
    <n v="305260"/>
    <n v="0.58823529411764708"/>
    <n v="1394.8571493895467"/>
    <n v="0"/>
    <n v="12.864117647058823"/>
  </r>
  <r>
    <x v="3"/>
    <x v="110"/>
    <x v="2"/>
    <x v="1"/>
    <x v="5"/>
    <x v="1"/>
    <m/>
    <n v="48"/>
    <m/>
    <n v="24"/>
    <n v="6"/>
    <n v="224.57"/>
    <n v="261234"/>
    <n v="0.25"/>
    <n v="1162.2631250834929"/>
    <n v="0"/>
    <n v="9.3570833333333336"/>
  </r>
  <r>
    <x v="3"/>
    <x v="111"/>
    <x v="2"/>
    <x v="0"/>
    <x v="0"/>
    <x v="0"/>
    <m/>
    <n v="54"/>
    <m/>
    <n v="8"/>
    <n v="3"/>
    <n v="227.31"/>
    <n v="124542"/>
    <n v="0.375"/>
    <n v="546.89494522898246"/>
    <n v="0"/>
    <n v="28.41375"/>
  </r>
  <r>
    <x v="4"/>
    <x v="112"/>
    <x v="2"/>
    <x v="6"/>
    <x v="1"/>
    <x v="0"/>
    <m/>
    <n v="53"/>
    <m/>
    <n v="14"/>
    <n v="8"/>
    <n v="289.7"/>
    <n v="405496"/>
    <n v="0.5714285714285714"/>
    <n v="1398.7100448740075"/>
    <n v="0"/>
    <n v="20.692857142857143"/>
  </r>
  <r>
    <x v="4"/>
    <x v="113"/>
    <x v="2"/>
    <x v="1"/>
    <x v="4"/>
    <x v="4"/>
    <m/>
    <n v="31"/>
    <m/>
    <n v="7"/>
    <n v="3"/>
    <n v="234.68"/>
    <n v="146136"/>
    <n v="0.42857142857142855"/>
    <n v="621.70325549684674"/>
    <n v="0"/>
    <n v="33.525714285714287"/>
  </r>
  <r>
    <x v="5"/>
    <x v="114"/>
    <x v="2"/>
    <x v="6"/>
    <x v="4"/>
    <x v="0"/>
    <m/>
    <n v="66"/>
    <m/>
    <n v="12"/>
    <n v="7"/>
    <n v="180.99"/>
    <n v="310695"/>
    <n v="0.58333333333333337"/>
    <n v="1715.6418034145534"/>
    <n v="0"/>
    <n v="15.082500000000001"/>
  </r>
  <r>
    <x v="5"/>
    <x v="115"/>
    <x v="2"/>
    <x v="6"/>
    <x v="1"/>
    <x v="1"/>
    <m/>
    <n v="46"/>
    <m/>
    <n v="17"/>
    <n v="4"/>
    <n v="186.17"/>
    <n v="263768"/>
    <n v="0.23529411764705882"/>
    <n v="1415.8125906429609"/>
    <n v="0"/>
    <n v="10.951176470588235"/>
  </r>
  <r>
    <x v="6"/>
    <x v="116"/>
    <x v="2"/>
    <x v="0"/>
    <x v="1"/>
    <x v="0"/>
    <m/>
    <n v="59"/>
    <m/>
    <n v="24"/>
    <n v="8"/>
    <n v="299.70999999999998"/>
    <n v="435360"/>
    <n v="0.33333333333333331"/>
    <n v="1451.6041840445764"/>
    <n v="0"/>
    <n v="12.487916666666665"/>
  </r>
  <r>
    <x v="6"/>
    <x v="117"/>
    <x v="2"/>
    <x v="5"/>
    <x v="3"/>
    <x v="1"/>
    <m/>
    <n v="45"/>
    <m/>
    <n v="26"/>
    <n v="15"/>
    <n v="346.89"/>
    <n v="828840"/>
    <n v="0.57692307692307687"/>
    <n v="2388.3453256075413"/>
    <n v="0"/>
    <n v="13.341923076923077"/>
  </r>
  <r>
    <x v="7"/>
    <x v="118"/>
    <x v="2"/>
    <x v="6"/>
    <x v="4"/>
    <x v="0"/>
    <m/>
    <n v="46"/>
    <m/>
    <n v="6"/>
    <n v="3"/>
    <n v="324.82"/>
    <n v="184026"/>
    <n v="0.5"/>
    <n v="565.54762637768613"/>
    <n v="0"/>
    <n v="54.136666666666663"/>
  </r>
  <r>
    <x v="7"/>
    <x v="119"/>
    <x v="2"/>
    <x v="6"/>
    <x v="5"/>
    <x v="4"/>
    <m/>
    <n v="66"/>
    <m/>
    <n v="21"/>
    <n v="5"/>
    <n v="237.49"/>
    <n v="197755"/>
    <n v="0.23809523809523808"/>
    <n v="831.68769211335211"/>
    <n v="0"/>
    <n v="11.30904761904762"/>
  </r>
  <r>
    <x v="8"/>
    <x v="120"/>
    <x v="2"/>
    <x v="1"/>
    <x v="3"/>
    <x v="2"/>
    <m/>
    <n v="77"/>
    <m/>
    <n v="17"/>
    <n v="10"/>
    <n v="224.98"/>
    <n v="268470"/>
    <n v="0.58823529411764708"/>
    <n v="1192.3060716508135"/>
    <n v="0"/>
    <n v="13.234117647058824"/>
  </r>
  <r>
    <x v="8"/>
    <x v="121"/>
    <x v="2"/>
    <x v="6"/>
    <x v="5"/>
    <x v="0"/>
    <m/>
    <n v="47"/>
    <m/>
    <n v="27"/>
    <n v="14"/>
    <n v="301.77"/>
    <n v="780402"/>
    <n v="0.51851851851851849"/>
    <n v="2585.0821155184412"/>
    <n v="0"/>
    <n v="11.176666666666666"/>
  </r>
  <r>
    <x v="9"/>
    <x v="122"/>
    <x v="2"/>
    <x v="6"/>
    <x v="1"/>
    <x v="4"/>
    <m/>
    <n v="50"/>
    <m/>
    <n v="28"/>
    <n v="12"/>
    <n v="234.65"/>
    <n v="526572"/>
    <n v="0.42857142857142855"/>
    <n v="2243.0741529938205"/>
    <n v="0"/>
    <n v="8.3803571428571431"/>
  </r>
  <r>
    <x v="9"/>
    <x v="123"/>
    <x v="2"/>
    <x v="0"/>
    <x v="2"/>
    <x v="2"/>
    <m/>
    <n v="50"/>
    <m/>
    <n v="7"/>
    <n v="2"/>
    <n v="331.03"/>
    <n v="128214"/>
    <n v="0.2857142857142857"/>
    <n v="386.31836993625961"/>
    <n v="0"/>
    <n v="47.29"/>
  </r>
  <r>
    <x v="10"/>
    <x v="124"/>
    <x v="2"/>
    <x v="1"/>
    <x v="4"/>
    <x v="0"/>
    <m/>
    <n v="38"/>
    <m/>
    <n v="12"/>
    <n v="5"/>
    <n v="187.46"/>
    <n v="343960"/>
    <n v="0.41666666666666669"/>
    <n v="1833.8447668836016"/>
    <n v="0"/>
    <n v="15.621666666666668"/>
  </r>
  <r>
    <x v="10"/>
    <x v="125"/>
    <x v="2"/>
    <x v="1"/>
    <x v="5"/>
    <x v="4"/>
    <m/>
    <n v="48"/>
    <m/>
    <n v="5"/>
    <n v="2"/>
    <n v="244.03"/>
    <n v="133318"/>
    <n v="0.4"/>
    <n v="545.31807564643691"/>
    <n v="0"/>
    <n v="48.805999999999997"/>
  </r>
  <r>
    <x v="11"/>
    <x v="126"/>
    <x v="2"/>
    <x v="1"/>
    <x v="1"/>
    <x v="2"/>
    <m/>
    <n v="61"/>
    <m/>
    <n v="26"/>
    <n v="12"/>
    <n v="304.3"/>
    <n v="561492"/>
    <n v="0.46153846153846156"/>
    <n v="1844.1922444955633"/>
    <n v="0"/>
    <n v="11.703846153846154"/>
  </r>
  <r>
    <x v="11"/>
    <x v="127"/>
    <x v="2"/>
    <x v="5"/>
    <x v="1"/>
    <x v="2"/>
    <m/>
    <n v="56"/>
    <m/>
    <n v="19"/>
    <n v="11"/>
    <n v="245.71"/>
    <n v="406395"/>
    <n v="0.57894736842105265"/>
    <n v="1652.9619877090879"/>
    <n v="0"/>
    <n v="12.932105263157895"/>
  </r>
  <r>
    <x v="12"/>
    <x v="128"/>
    <x v="2"/>
    <x v="6"/>
    <x v="5"/>
    <x v="4"/>
    <m/>
    <n v="38"/>
    <m/>
    <n v="10"/>
    <n v="6"/>
    <n v="253.08"/>
    <n v="363528"/>
    <n v="0.6"/>
    <n v="1435.4153627311521"/>
    <n v="0"/>
    <n v="25.308"/>
  </r>
  <r>
    <x v="12"/>
    <x v="129"/>
    <x v="2"/>
    <x v="5"/>
    <x v="5"/>
    <x v="1"/>
    <m/>
    <n v="63"/>
    <m/>
    <n v="15"/>
    <n v="5"/>
    <n v="309.87"/>
    <n v="268180"/>
    <n v="0.33333333333333331"/>
    <n v="864.45970891018817"/>
    <n v="0"/>
    <n v="20.658000000000001"/>
  </r>
  <r>
    <x v="13"/>
    <x v="130"/>
    <x v="2"/>
    <x v="0"/>
    <x v="4"/>
    <x v="1"/>
    <m/>
    <n v="69"/>
    <m/>
    <n v="30"/>
    <n v="12"/>
    <n v="310.23"/>
    <n v="633840"/>
    <n v="0.4"/>
    <n v="2042.1292911710666"/>
    <n v="0"/>
    <n v="10.341000000000001"/>
  </r>
  <r>
    <x v="13"/>
    <x v="131"/>
    <x v="2"/>
    <x v="1"/>
    <x v="1"/>
    <x v="1"/>
    <m/>
    <n v="60"/>
    <m/>
    <n v="26"/>
    <n v="8"/>
    <n v="239.18"/>
    <n v="423400"/>
    <n v="0.30769230769230771"/>
    <n v="1769.2149009114473"/>
    <n v="0"/>
    <n v="9.1992307692307698"/>
  </r>
  <r>
    <x v="14"/>
    <x v="132"/>
    <x v="2"/>
    <x v="1"/>
    <x v="4"/>
    <x v="1"/>
    <m/>
    <n v="67"/>
    <m/>
    <n v="18"/>
    <n v="6"/>
    <n v="346.01"/>
    <n v="172554"/>
    <n v="0.33333333333333331"/>
    <n v="497.69656946331031"/>
    <n v="0"/>
    <n v="19.222777777777779"/>
  </r>
  <r>
    <x v="14"/>
    <x v="133"/>
    <x v="2"/>
    <x v="1"/>
    <x v="1"/>
    <x v="4"/>
    <m/>
    <n v="62"/>
    <m/>
    <n v="26"/>
    <n v="13"/>
    <n v="156.96"/>
    <n v="382278"/>
    <n v="0.5"/>
    <n v="2434.512232415902"/>
    <n v="0"/>
    <n v="6.0369230769230775"/>
  </r>
  <r>
    <x v="15"/>
    <x v="134"/>
    <x v="2"/>
    <x v="1"/>
    <x v="2"/>
    <x v="3"/>
    <m/>
    <n v="67"/>
    <m/>
    <n v="19"/>
    <n v="11"/>
    <n v="224.4"/>
    <n v="330418"/>
    <n v="0.57894736842105265"/>
    <n v="1471.4509803921567"/>
    <n v="0"/>
    <n v="11.810526315789474"/>
  </r>
  <r>
    <x v="15"/>
    <x v="135"/>
    <x v="2"/>
    <x v="1"/>
    <x v="2"/>
    <x v="2"/>
    <m/>
    <n v="68"/>
    <m/>
    <n v="5"/>
    <n v="2"/>
    <n v="249.81"/>
    <n v="100722"/>
    <n v="0.4"/>
    <n v="402.19442776510147"/>
    <n v="0"/>
    <n v="49.962000000000003"/>
  </r>
  <r>
    <x v="16"/>
    <x v="136"/>
    <x v="2"/>
    <x v="6"/>
    <x v="4"/>
    <x v="3"/>
    <m/>
    <n v="65"/>
    <m/>
    <n v="14"/>
    <n v="7"/>
    <n v="349.73"/>
    <n v="266826"/>
    <n v="0.5"/>
    <n v="761.94856031795962"/>
    <n v="0"/>
    <n v="24.980714285714289"/>
  </r>
  <r>
    <x v="16"/>
    <x v="137"/>
    <x v="2"/>
    <x v="6"/>
    <x v="0"/>
    <x v="4"/>
    <m/>
    <n v="54"/>
    <m/>
    <n v="17"/>
    <n v="8"/>
    <n v="319.10000000000002"/>
    <n v="367552"/>
    <n v="0.47058823529411764"/>
    <n v="1150.8395487308053"/>
    <n v="0"/>
    <n v="18.77058823529412"/>
  </r>
  <r>
    <x v="17"/>
    <x v="138"/>
    <x v="2"/>
    <x v="0"/>
    <x v="1"/>
    <x v="3"/>
    <m/>
    <n v="77"/>
    <m/>
    <n v="10"/>
    <n v="5"/>
    <n v="251.75"/>
    <n v="164765"/>
    <n v="0.5"/>
    <n v="653.47864945382321"/>
    <n v="0"/>
    <n v="25.175000000000001"/>
  </r>
  <r>
    <x v="17"/>
    <x v="139"/>
    <x v="2"/>
    <x v="6"/>
    <x v="2"/>
    <x v="2"/>
    <m/>
    <n v="67"/>
    <m/>
    <n v="16"/>
    <n v="6"/>
    <n v="346.6"/>
    <n v="201024"/>
    <n v="0.375"/>
    <n v="578.98845931909977"/>
    <n v="0"/>
    <n v="21.662500000000001"/>
  </r>
  <r>
    <x v="18"/>
    <x v="140"/>
    <x v="2"/>
    <x v="1"/>
    <x v="4"/>
    <x v="3"/>
    <m/>
    <n v="46"/>
    <m/>
    <n v="21"/>
    <n v="8"/>
    <n v="231.89"/>
    <n v="501408"/>
    <n v="0.38095238095238093"/>
    <n v="2161.266591918582"/>
    <n v="0"/>
    <n v="11.042380952380952"/>
  </r>
  <r>
    <x v="18"/>
    <x v="141"/>
    <x v="2"/>
    <x v="0"/>
    <x v="2"/>
    <x v="3"/>
    <m/>
    <n v="61"/>
    <m/>
    <n v="9"/>
    <n v="5"/>
    <n v="306.05"/>
    <n v="334645"/>
    <n v="0.55555555555555558"/>
    <n v="1092.4324456788106"/>
    <n v="0"/>
    <n v="34.00555555555556"/>
  </r>
  <r>
    <x v="19"/>
    <x v="142"/>
    <x v="2"/>
    <x v="1"/>
    <x v="0"/>
    <x v="3"/>
    <m/>
    <n v="79"/>
    <m/>
    <n v="13"/>
    <n v="3"/>
    <n v="182.93"/>
    <n v="138435"/>
    <n v="0.23076923076923078"/>
    <n v="755.76488274203246"/>
    <n v="0"/>
    <n v="14.071538461538463"/>
  </r>
  <r>
    <x v="19"/>
    <x v="143"/>
    <x v="2"/>
    <x v="6"/>
    <x v="0"/>
    <x v="4"/>
    <m/>
    <n v="60"/>
    <m/>
    <n v="11"/>
    <n v="5"/>
    <n v="260.17"/>
    <n v="166015"/>
    <n v="0.45454545454545453"/>
    <n v="637.10201022408421"/>
    <n v="0"/>
    <n v="23.651818181818182"/>
  </r>
  <r>
    <x v="20"/>
    <x v="144"/>
    <x v="2"/>
    <x v="6"/>
    <x v="3"/>
    <x v="0"/>
    <m/>
    <n v="73"/>
    <m/>
    <n v="10"/>
    <n v="5"/>
    <n v="294.13"/>
    <n v="323290"/>
    <n v="0.5"/>
    <n v="1098.1398361268828"/>
    <n v="0"/>
    <n v="29.413"/>
  </r>
  <r>
    <x v="20"/>
    <x v="145"/>
    <x v="2"/>
    <x v="5"/>
    <x v="2"/>
    <x v="2"/>
    <m/>
    <n v="66"/>
    <m/>
    <n v="13"/>
    <n v="6"/>
    <n v="303.39"/>
    <n v="313806"/>
    <n v="0.46153846153846156"/>
    <n v="1033.3320478591911"/>
    <n v="0"/>
    <n v="23.337692307692308"/>
  </r>
  <r>
    <x v="21"/>
    <x v="146"/>
    <x v="2"/>
    <x v="5"/>
    <x v="1"/>
    <x v="1"/>
    <m/>
    <n v="57"/>
    <m/>
    <n v="26"/>
    <n v="9"/>
    <n v="240.71"/>
    <n v="260334"/>
    <n v="0.34615384615384615"/>
    <n v="1080.5254871006605"/>
    <n v="0"/>
    <n v="9.2580769230769242"/>
  </r>
  <r>
    <x v="21"/>
    <x v="147"/>
    <x v="2"/>
    <x v="1"/>
    <x v="5"/>
    <x v="3"/>
    <m/>
    <n v="53"/>
    <m/>
    <n v="15"/>
    <n v="8"/>
    <n v="213.86"/>
    <n v="381072"/>
    <n v="0.53333333333333333"/>
    <n v="1780.8759936406996"/>
    <n v="0"/>
    <n v="14.257333333333333"/>
  </r>
  <r>
    <x v="22"/>
    <x v="148"/>
    <x v="2"/>
    <x v="5"/>
    <x v="4"/>
    <x v="4"/>
    <m/>
    <n v="80"/>
    <m/>
    <n v="8"/>
    <n v="2"/>
    <n v="199.58"/>
    <n v="62688"/>
    <n v="0.25"/>
    <n v="313.09960917927646"/>
    <n v="0"/>
    <n v="24.947500000000002"/>
  </r>
  <r>
    <x v="22"/>
    <x v="149"/>
    <x v="2"/>
    <x v="5"/>
    <x v="5"/>
    <x v="0"/>
    <m/>
    <n v="63"/>
    <m/>
    <n v="23"/>
    <n v="11"/>
    <n v="187.97"/>
    <n v="389862"/>
    <n v="0.47826086956521741"/>
    <n v="2073.0650103739958"/>
    <n v="0"/>
    <n v="8.1726086956521744"/>
  </r>
  <r>
    <x v="23"/>
    <x v="150"/>
    <x v="2"/>
    <x v="6"/>
    <x v="3"/>
    <x v="2"/>
    <m/>
    <n v="55"/>
    <m/>
    <n v="21"/>
    <n v="8"/>
    <n v="198.15"/>
    <n v="505840"/>
    <n v="0.38095238095238093"/>
    <n v="2551.8135251072417"/>
    <n v="0"/>
    <n v="9.4357142857142868"/>
  </r>
  <r>
    <x v="23"/>
    <x v="151"/>
    <x v="2"/>
    <x v="1"/>
    <x v="5"/>
    <x v="3"/>
    <m/>
    <n v="78"/>
    <m/>
    <n v="20"/>
    <n v="6"/>
    <n v="151.63999999999999"/>
    <n v="192264"/>
    <n v="0.3"/>
    <n v="1266.8976523344763"/>
    <n v="0"/>
    <n v="7.581999999999999"/>
  </r>
  <r>
    <x v="24"/>
    <x v="152"/>
    <x v="2"/>
    <x v="6"/>
    <x v="2"/>
    <x v="4"/>
    <m/>
    <n v="63"/>
    <m/>
    <n v="11"/>
    <n v="2"/>
    <n v="262.36"/>
    <n v="97516"/>
    <n v="0.18181818181818182"/>
    <n v="370.68775728007319"/>
    <n v="0"/>
    <n v="23.850909090909092"/>
  </r>
  <r>
    <x v="24"/>
    <x v="153"/>
    <x v="2"/>
    <x v="1"/>
    <x v="5"/>
    <x v="4"/>
    <m/>
    <n v="64"/>
    <m/>
    <n v="24"/>
    <n v="11"/>
    <n v="173.76"/>
    <n v="344696"/>
    <n v="0.45833333333333331"/>
    <n v="1982.7476979742173"/>
    <n v="0"/>
    <n v="7.2399999999999993"/>
  </r>
  <r>
    <x v="25"/>
    <x v="154"/>
    <x v="2"/>
    <x v="5"/>
    <x v="1"/>
    <x v="4"/>
    <m/>
    <n v="66"/>
    <m/>
    <n v="21"/>
    <n v="8"/>
    <n v="158.05000000000001"/>
    <n v="220400"/>
    <n v="0.38095238095238093"/>
    <n v="1393.4954128440368"/>
    <n v="0"/>
    <n v="7.526190476190477"/>
  </r>
  <r>
    <x v="25"/>
    <x v="155"/>
    <x v="2"/>
    <x v="1"/>
    <x v="2"/>
    <x v="4"/>
    <m/>
    <n v="52"/>
    <m/>
    <n v="15"/>
    <n v="9"/>
    <n v="213.71"/>
    <n v="456768"/>
    <n v="0.6"/>
    <n v="2136.3262832810815"/>
    <n v="0"/>
    <n v="14.247333333333334"/>
  </r>
  <r>
    <x v="0"/>
    <x v="156"/>
    <x v="3"/>
    <x v="7"/>
    <x v="3"/>
    <x v="2"/>
    <n v="4955"/>
    <n v="53"/>
    <n v="44"/>
    <n v="3"/>
    <n v="1"/>
    <n v="514.12"/>
    <n v="52298"/>
    <n v="0.33333333333333331"/>
    <n v="100.7233330739905"/>
    <n v="1.0696266397578204E-2"/>
    <n v="171.37333333333333"/>
  </r>
  <r>
    <x v="0"/>
    <x v="157"/>
    <x v="3"/>
    <x v="7"/>
    <x v="0"/>
    <x v="3"/>
    <n v="6435"/>
    <n v="34"/>
    <n v="39"/>
    <n v="11"/>
    <n v="5"/>
    <n v="415.78"/>
    <n v="249580"/>
    <n v="0.45454545454545453"/>
    <n v="599.26937322622541"/>
    <n v="5.2836052836052836E-3"/>
    <n v="37.798181818181817"/>
  </r>
  <r>
    <x v="1"/>
    <x v="158"/>
    <x v="3"/>
    <x v="7"/>
    <x v="5"/>
    <x v="2"/>
    <n v="5069"/>
    <n v="86"/>
    <n v="41"/>
    <n v="5"/>
    <n v="2"/>
    <n v="420.39"/>
    <n v="115774"/>
    <n v="0.4"/>
    <n v="274.396655486572"/>
    <n v="1.6965870980469519E-2"/>
    <n v="84.078000000000003"/>
  </r>
  <r>
    <x v="1"/>
    <x v="159"/>
    <x v="3"/>
    <x v="7"/>
    <x v="2"/>
    <x v="4"/>
    <n v="6418"/>
    <n v="53"/>
    <n v="76"/>
    <n v="9"/>
    <n v="3"/>
    <n v="417.32"/>
    <n v="179817"/>
    <n v="0.33333333333333331"/>
    <n v="429.88517205022526"/>
    <n v="8.2580243066375826E-3"/>
    <n v="46.36888888888889"/>
  </r>
  <r>
    <x v="2"/>
    <x v="160"/>
    <x v="3"/>
    <x v="7"/>
    <x v="0"/>
    <x v="3"/>
    <n v="4785"/>
    <n v="82"/>
    <n v="55"/>
    <n v="7"/>
    <n v="2"/>
    <n v="447.56"/>
    <n v="89008"/>
    <n v="0.2857142857142857"/>
    <n v="197.87389400303871"/>
    <n v="1.7136886102403343E-2"/>
    <n v="63.937142857142859"/>
  </r>
  <r>
    <x v="2"/>
    <x v="161"/>
    <x v="3"/>
    <x v="7"/>
    <x v="1"/>
    <x v="4"/>
    <n v="4740"/>
    <n v="30"/>
    <n v="59"/>
    <n v="4"/>
    <n v="2"/>
    <n v="454.32"/>
    <n v="101712"/>
    <n v="0.5"/>
    <n v="222.87744321183305"/>
    <n v="6.3291139240506328E-3"/>
    <n v="113.58"/>
  </r>
  <r>
    <x v="3"/>
    <x v="162"/>
    <x v="3"/>
    <x v="7"/>
    <x v="0"/>
    <x v="4"/>
    <n v="4600"/>
    <n v="98"/>
    <n v="45"/>
    <n v="10"/>
    <n v="3"/>
    <n v="531.07000000000005"/>
    <n v="128304"/>
    <n v="0.3"/>
    <n v="240.59526992675163"/>
    <n v="2.1304347826086957E-2"/>
    <n v="53.107000000000006"/>
  </r>
  <r>
    <x v="3"/>
    <x v="163"/>
    <x v="3"/>
    <x v="7"/>
    <x v="5"/>
    <x v="2"/>
    <n v="6850"/>
    <n v="37"/>
    <n v="15"/>
    <n v="13"/>
    <n v="4"/>
    <n v="369.02"/>
    <n v="186584"/>
    <n v="0.30769230769230771"/>
    <n v="504.62029158311208"/>
    <n v="5.4014598540145986E-3"/>
    <n v="28.386153846153846"/>
  </r>
  <r>
    <x v="4"/>
    <x v="164"/>
    <x v="3"/>
    <x v="7"/>
    <x v="3"/>
    <x v="2"/>
    <n v="5833"/>
    <n v="31"/>
    <n v="44"/>
    <n v="10"/>
    <n v="4"/>
    <n v="377.95"/>
    <n v="175296"/>
    <n v="0.4"/>
    <n v="462.80738192882654"/>
    <n v="5.3145894051088638E-3"/>
    <n v="37.795000000000002"/>
  </r>
  <r>
    <x v="4"/>
    <x v="165"/>
    <x v="3"/>
    <x v="7"/>
    <x v="5"/>
    <x v="3"/>
    <n v="2805"/>
    <n v="57"/>
    <n v="19"/>
    <n v="9"/>
    <n v="5"/>
    <n v="459.34"/>
    <n v="136905"/>
    <n v="0.55555555555555558"/>
    <n v="297.04719815387296"/>
    <n v="2.0320855614973262E-2"/>
    <n v="51.037777777777777"/>
  </r>
  <r>
    <x v="5"/>
    <x v="166"/>
    <x v="3"/>
    <x v="7"/>
    <x v="1"/>
    <x v="0"/>
    <n v="3379"/>
    <n v="44"/>
    <n v="29"/>
    <n v="7"/>
    <n v="3"/>
    <n v="464.13"/>
    <n v="178083"/>
    <n v="0.42857142857142855"/>
    <n v="382.69206903238319"/>
    <n v="1.3021604024859426E-2"/>
    <n v="66.304285714285712"/>
  </r>
  <r>
    <x v="5"/>
    <x v="167"/>
    <x v="3"/>
    <x v="7"/>
    <x v="2"/>
    <x v="3"/>
    <n v="6259"/>
    <n v="71"/>
    <n v="69"/>
    <n v="7"/>
    <n v="3"/>
    <n v="361.27"/>
    <n v="141276"/>
    <n v="0.42857142857142855"/>
    <n v="390.05378248955083"/>
    <n v="1.1343665122223998E-2"/>
    <n v="51.61"/>
  </r>
  <r>
    <x v="6"/>
    <x v="168"/>
    <x v="3"/>
    <x v="7"/>
    <x v="1"/>
    <x v="2"/>
    <n v="3210"/>
    <n v="50"/>
    <n v="72"/>
    <n v="13"/>
    <n v="3"/>
    <n v="498.17"/>
    <n v="168870"/>
    <n v="0.23076923076923078"/>
    <n v="337.98066924945294"/>
    <n v="1.5576323987538941E-2"/>
    <n v="38.32076923076923"/>
  </r>
  <r>
    <x v="6"/>
    <x v="169"/>
    <x v="3"/>
    <x v="7"/>
    <x v="1"/>
    <x v="2"/>
    <n v="4973"/>
    <n v="79"/>
    <n v="54"/>
    <n v="14"/>
    <n v="6"/>
    <n v="426.16"/>
    <n v="291378"/>
    <n v="0.42857142857142855"/>
    <n v="682.7291158250423"/>
    <n v="1.5885783229438972E-2"/>
    <n v="30.44"/>
  </r>
  <r>
    <x v="7"/>
    <x v="170"/>
    <x v="3"/>
    <x v="7"/>
    <x v="2"/>
    <x v="3"/>
    <n v="6616"/>
    <n v="37"/>
    <n v="76"/>
    <n v="7"/>
    <n v="3"/>
    <n v="463.87"/>
    <n v="133005"/>
    <n v="0.42857142857142855"/>
    <n v="285.72904046392307"/>
    <n v="5.592503022974607E-3"/>
    <n v="66.267142857142858"/>
  </r>
  <r>
    <x v="7"/>
    <x v="171"/>
    <x v="3"/>
    <x v="7"/>
    <x v="1"/>
    <x v="3"/>
    <n v="5560"/>
    <n v="96"/>
    <n v="25"/>
    <n v="14"/>
    <n v="5"/>
    <n v="447.08"/>
    <n v="301130"/>
    <n v="0.35714285714285715"/>
    <n v="672.54835823566248"/>
    <n v="1.7266187050359712E-2"/>
    <n v="31.934285714285714"/>
  </r>
  <r>
    <x v="8"/>
    <x v="172"/>
    <x v="3"/>
    <x v="7"/>
    <x v="2"/>
    <x v="3"/>
    <n v="6826"/>
    <n v="39"/>
    <n v="36"/>
    <n v="8"/>
    <n v="2"/>
    <n v="456.42"/>
    <n v="58094"/>
    <n v="0.25"/>
    <n v="126.28188948775251"/>
    <n v="5.7134485789627895E-3"/>
    <n v="57.052500000000002"/>
  </r>
  <r>
    <x v="8"/>
    <x v="173"/>
    <x v="3"/>
    <x v="7"/>
    <x v="5"/>
    <x v="2"/>
    <n v="6119"/>
    <n v="85"/>
    <n v="68"/>
    <n v="13"/>
    <n v="4"/>
    <n v="504.15"/>
    <n v="123836"/>
    <n v="0.30769230769230771"/>
    <n v="244.63324407418429"/>
    <n v="1.3891158686059814E-2"/>
    <n v="38.780769230769231"/>
  </r>
  <r>
    <x v="9"/>
    <x v="174"/>
    <x v="3"/>
    <x v="7"/>
    <x v="3"/>
    <x v="2"/>
    <n v="2972"/>
    <n v="94"/>
    <n v="24"/>
    <n v="10"/>
    <n v="4"/>
    <n v="473.9"/>
    <n v="105704"/>
    <n v="0.4"/>
    <n v="222.0512766406415"/>
    <n v="3.1628532974427997E-2"/>
    <n v="47.39"/>
  </r>
  <r>
    <x v="9"/>
    <x v="175"/>
    <x v="3"/>
    <x v="7"/>
    <x v="4"/>
    <x v="4"/>
    <n v="5322"/>
    <n v="37"/>
    <n v="68"/>
    <n v="4"/>
    <n v="2"/>
    <n v="406.03"/>
    <n v="59046"/>
    <n v="0.5"/>
    <n v="144.42275201339802"/>
    <n v="6.9522735813603905E-3"/>
    <n v="101.50749999999999"/>
  </r>
  <r>
    <x v="10"/>
    <x v="176"/>
    <x v="3"/>
    <x v="7"/>
    <x v="0"/>
    <x v="4"/>
    <n v="6174"/>
    <n v="88"/>
    <n v="65"/>
    <n v="9"/>
    <n v="2"/>
    <n v="496.41"/>
    <n v="120686"/>
    <n v="0.22222222222222221"/>
    <n v="242.11758425495051"/>
    <n v="1.4253320375769355E-2"/>
    <n v="55.156666666666666"/>
  </r>
  <r>
    <x v="10"/>
    <x v="177"/>
    <x v="3"/>
    <x v="7"/>
    <x v="2"/>
    <x v="1"/>
    <n v="4324"/>
    <n v="51"/>
    <n v="73"/>
    <n v="3"/>
    <n v="2"/>
    <n v="401.67"/>
    <n v="121360"/>
    <n v="0.66666666666666663"/>
    <n v="301.13857146413721"/>
    <n v="1.1794634597594819E-2"/>
    <n v="133.89000000000001"/>
  </r>
  <r>
    <x v="11"/>
    <x v="178"/>
    <x v="3"/>
    <x v="7"/>
    <x v="2"/>
    <x v="2"/>
    <n v="4758"/>
    <n v="28"/>
    <n v="27"/>
    <n v="14"/>
    <n v="7"/>
    <n v="362.9"/>
    <n v="477862"/>
    <n v="0.5"/>
    <n v="1315.786993662166"/>
    <n v="5.8848255569567045E-3"/>
    <n v="25.921428571428571"/>
  </r>
  <r>
    <x v="11"/>
    <x v="179"/>
    <x v="3"/>
    <x v="7"/>
    <x v="5"/>
    <x v="3"/>
    <n v="6157"/>
    <n v="27"/>
    <n v="32"/>
    <n v="13"/>
    <n v="6"/>
    <n v="364.38"/>
    <n v="167394"/>
    <n v="0.46153846153846156"/>
    <n v="458.39403918985676"/>
    <n v="4.3852525580639918E-3"/>
    <n v="28.029230769230768"/>
  </r>
  <r>
    <x v="12"/>
    <x v="180"/>
    <x v="3"/>
    <x v="7"/>
    <x v="1"/>
    <x v="4"/>
    <n v="4418"/>
    <n v="86"/>
    <n v="43"/>
    <n v="14"/>
    <n v="6"/>
    <n v="457.75"/>
    <n v="414450"/>
    <n v="0.42857142857142855"/>
    <n v="904.40688148552704"/>
    <n v="1.9465821638750568E-2"/>
    <n v="32.696428571428569"/>
  </r>
  <r>
    <x v="12"/>
    <x v="181"/>
    <x v="3"/>
    <x v="7"/>
    <x v="0"/>
    <x v="1"/>
    <n v="4754"/>
    <n v="26"/>
    <n v="59"/>
    <n v="11"/>
    <n v="6"/>
    <n v="487.97"/>
    <n v="218862"/>
    <n v="0.54545454545454541"/>
    <n v="447.51527757853961"/>
    <n v="5.4690786705931848E-3"/>
    <n v="44.360909090909097"/>
  </r>
  <r>
    <x v="13"/>
    <x v="182"/>
    <x v="3"/>
    <x v="7"/>
    <x v="5"/>
    <x v="3"/>
    <n v="5622"/>
    <n v="80"/>
    <n v="45"/>
    <n v="11"/>
    <n v="3"/>
    <n v="485.8"/>
    <n v="104337"/>
    <n v="0.27272727272727271"/>
    <n v="213.77356937011115"/>
    <n v="1.4229811454998222E-2"/>
    <n v="44.163636363636364"/>
  </r>
  <r>
    <x v="13"/>
    <x v="183"/>
    <x v="3"/>
    <x v="7"/>
    <x v="2"/>
    <x v="3"/>
    <n v="3682"/>
    <n v="52"/>
    <n v="41"/>
    <n v="10"/>
    <n v="5"/>
    <n v="456.24"/>
    <n v="261480"/>
    <n v="0.5"/>
    <n v="572.11941083640193"/>
    <n v="1.4122759369907659E-2"/>
    <n v="45.624000000000002"/>
  </r>
  <r>
    <x v="14"/>
    <x v="184"/>
    <x v="3"/>
    <x v="7"/>
    <x v="3"/>
    <x v="1"/>
    <n v="3147"/>
    <n v="97"/>
    <n v="20"/>
    <n v="8"/>
    <n v="2"/>
    <n v="519.70000000000005"/>
    <n v="74966"/>
    <n v="0.25"/>
    <n v="143.24860496440255"/>
    <n v="3.0823006037496027E-2"/>
    <n v="64.962500000000006"/>
  </r>
  <r>
    <x v="14"/>
    <x v="185"/>
    <x v="3"/>
    <x v="7"/>
    <x v="1"/>
    <x v="2"/>
    <n v="4277"/>
    <n v="81"/>
    <n v="46"/>
    <n v="6"/>
    <n v="3"/>
    <n v="389.97"/>
    <n v="78012"/>
    <n v="0.5"/>
    <n v="199.0461573967228"/>
    <n v="1.8938508300210429E-2"/>
    <n v="64.995000000000005"/>
  </r>
  <r>
    <x v="15"/>
    <x v="186"/>
    <x v="3"/>
    <x v="7"/>
    <x v="2"/>
    <x v="4"/>
    <n v="4175"/>
    <n v="66"/>
    <n v="80"/>
    <n v="6"/>
    <n v="2"/>
    <n v="525.30999999999995"/>
    <n v="99894"/>
    <n v="0.33333333333333331"/>
    <n v="189.16199958119969"/>
    <n v="1.5808383233532935E-2"/>
    <n v="87.551666666666662"/>
  </r>
  <r>
    <x v="15"/>
    <x v="187"/>
    <x v="3"/>
    <x v="7"/>
    <x v="3"/>
    <x v="1"/>
    <n v="3307"/>
    <n v="48"/>
    <n v="33"/>
    <n v="14"/>
    <n v="5"/>
    <n v="483.97"/>
    <n v="191560"/>
    <n v="0.35714285714285715"/>
    <n v="394.80965762340639"/>
    <n v="1.4514665860296341E-2"/>
    <n v="34.569285714285719"/>
  </r>
  <r>
    <x v="16"/>
    <x v="188"/>
    <x v="3"/>
    <x v="7"/>
    <x v="5"/>
    <x v="0"/>
    <n v="5920"/>
    <n v="63"/>
    <n v="47"/>
    <n v="5"/>
    <n v="1"/>
    <n v="423"/>
    <n v="62341"/>
    <n v="0.2"/>
    <n v="146.37825059101655"/>
    <n v="1.0641891891891892E-2"/>
    <n v="84.6"/>
  </r>
  <r>
    <x v="16"/>
    <x v="189"/>
    <x v="3"/>
    <x v="7"/>
    <x v="2"/>
    <x v="1"/>
    <n v="6518"/>
    <n v="89"/>
    <n v="22"/>
    <n v="5"/>
    <n v="2"/>
    <n v="478.74"/>
    <n v="68344"/>
    <n v="0.4"/>
    <n v="141.75807327568199"/>
    <n v="1.3654495243939859E-2"/>
    <n v="95.748000000000005"/>
  </r>
  <r>
    <x v="17"/>
    <x v="190"/>
    <x v="3"/>
    <x v="7"/>
    <x v="1"/>
    <x v="2"/>
    <n v="3108"/>
    <n v="21"/>
    <n v="42"/>
    <n v="13"/>
    <n v="3"/>
    <n v="360.57"/>
    <n v="102030"/>
    <n v="0.23076923076923078"/>
    <n v="281.96863299775356"/>
    <n v="6.7567567567567571E-3"/>
    <n v="27.736153846153847"/>
  </r>
  <r>
    <x v="17"/>
    <x v="191"/>
    <x v="3"/>
    <x v="7"/>
    <x v="5"/>
    <x v="2"/>
    <n v="5557"/>
    <n v="90"/>
    <n v="67"/>
    <n v="12"/>
    <n v="5"/>
    <n v="493.39"/>
    <n v="283335"/>
    <n v="0.41666666666666669"/>
    <n v="573.26174020551696"/>
    <n v="1.6195789094835343E-2"/>
    <n v="41.115833333333335"/>
  </r>
  <r>
    <x v="18"/>
    <x v="192"/>
    <x v="3"/>
    <x v="7"/>
    <x v="0"/>
    <x v="1"/>
    <n v="6836"/>
    <n v="42"/>
    <n v="28"/>
    <n v="7"/>
    <n v="3"/>
    <n v="385.8"/>
    <n v="173739"/>
    <n v="0.42857142857142855"/>
    <n v="449.33437013996894"/>
    <n v="6.1439438267992981E-3"/>
    <n v="55.114285714285714"/>
  </r>
  <r>
    <x v="18"/>
    <x v="193"/>
    <x v="3"/>
    <x v="7"/>
    <x v="5"/>
    <x v="2"/>
    <n v="3719"/>
    <n v="71"/>
    <n v="73"/>
    <n v="6"/>
    <n v="3"/>
    <n v="467.77"/>
    <n v="144684"/>
    <n v="0.5"/>
    <n v="308.305855441777"/>
    <n v="1.9091153535896747E-2"/>
    <n v="77.961666666666659"/>
  </r>
  <r>
    <x v="19"/>
    <x v="194"/>
    <x v="3"/>
    <x v="7"/>
    <x v="4"/>
    <x v="1"/>
    <n v="4350"/>
    <n v="90"/>
    <n v="75"/>
    <n v="13"/>
    <n v="6"/>
    <n v="367.26"/>
    <n v="405546"/>
    <n v="0.46153846153846156"/>
    <n v="1103.247671949028"/>
    <n v="2.0689655172413793E-2"/>
    <n v="28.25076923076923"/>
  </r>
  <r>
    <x v="19"/>
    <x v="195"/>
    <x v="3"/>
    <x v="7"/>
    <x v="2"/>
    <x v="2"/>
    <n v="2577"/>
    <n v="25"/>
    <n v="44"/>
    <n v="5"/>
    <n v="1"/>
    <n v="532.99"/>
    <n v="67264"/>
    <n v="0.2"/>
    <n v="125.2012420495694"/>
    <n v="9.7012029491656965E-3"/>
    <n v="106.598"/>
  </r>
  <r>
    <x v="20"/>
    <x v="196"/>
    <x v="3"/>
    <x v="7"/>
    <x v="2"/>
    <x v="2"/>
    <n v="6395"/>
    <n v="60"/>
    <n v="17"/>
    <n v="3"/>
    <n v="2"/>
    <n v="515.29"/>
    <n v="86748"/>
    <n v="0.66666666666666663"/>
    <n v="167.34792058840657"/>
    <n v="9.3823299452697427E-3"/>
    <n v="171.76333333333332"/>
  </r>
  <r>
    <x v="20"/>
    <x v="197"/>
    <x v="3"/>
    <x v="7"/>
    <x v="2"/>
    <x v="3"/>
    <n v="3681"/>
    <n v="69"/>
    <n v="57"/>
    <n v="14"/>
    <n v="7"/>
    <n v="542.17999999999995"/>
    <n v="312291"/>
    <n v="0.5"/>
    <n v="574.99136818030922"/>
    <n v="1.8744906275468622E-2"/>
    <n v="38.727142857142852"/>
  </r>
  <r>
    <x v="21"/>
    <x v="198"/>
    <x v="3"/>
    <x v="7"/>
    <x v="4"/>
    <x v="1"/>
    <n v="3646"/>
    <n v="29"/>
    <n v="58"/>
    <n v="14"/>
    <n v="6"/>
    <n v="495.09"/>
    <n v="285996"/>
    <n v="0.42857142857142855"/>
    <n v="576.66466703023696"/>
    <n v="7.9539221064179929E-3"/>
    <n v="35.363571428571426"/>
  </r>
  <r>
    <x v="21"/>
    <x v="199"/>
    <x v="3"/>
    <x v="7"/>
    <x v="1"/>
    <x v="4"/>
    <n v="5749"/>
    <n v="68"/>
    <n v="70"/>
    <n v="8"/>
    <n v="2"/>
    <n v="470.07"/>
    <n v="109054"/>
    <n v="0.25"/>
    <n v="230.99523475227093"/>
    <n v="1.1828144025047834E-2"/>
    <n v="58.758749999999999"/>
  </r>
  <r>
    <x v="22"/>
    <x v="200"/>
    <x v="3"/>
    <x v="7"/>
    <x v="3"/>
    <x v="3"/>
    <n v="5613"/>
    <n v="39"/>
    <n v="64"/>
    <n v="12"/>
    <n v="4"/>
    <n v="467.11"/>
    <n v="119268"/>
    <n v="0.33333333333333331"/>
    <n v="254.33172057973496"/>
    <n v="6.9481560662747197E-3"/>
    <n v="38.925833333333337"/>
  </r>
  <r>
    <x v="22"/>
    <x v="201"/>
    <x v="3"/>
    <x v="7"/>
    <x v="1"/>
    <x v="2"/>
    <n v="3372"/>
    <n v="77"/>
    <n v="80"/>
    <n v="3"/>
    <n v="2"/>
    <n v="444.47"/>
    <n v="85358"/>
    <n v="0.66666666666666663"/>
    <n v="191.04445744369698"/>
    <n v="2.2835112692763938E-2"/>
    <n v="148.15666666666667"/>
  </r>
  <r>
    <x v="23"/>
    <x v="202"/>
    <x v="3"/>
    <x v="7"/>
    <x v="4"/>
    <x v="4"/>
    <n v="2715"/>
    <n v="30"/>
    <n v="46"/>
    <n v="8"/>
    <n v="3"/>
    <n v="413.72"/>
    <n v="138783"/>
    <n v="0.375"/>
    <n v="334.45151310064773"/>
    <n v="1.1049723756906077E-2"/>
    <n v="51.715000000000003"/>
  </r>
  <r>
    <x v="23"/>
    <x v="203"/>
    <x v="3"/>
    <x v="7"/>
    <x v="1"/>
    <x v="2"/>
    <n v="3889"/>
    <n v="55"/>
    <n v="68"/>
    <n v="9"/>
    <n v="2"/>
    <n v="469.58"/>
    <n v="85180"/>
    <n v="0.22222222222222221"/>
    <n v="180.39614123259082"/>
    <n v="1.4142453072769349E-2"/>
    <n v="52.175555555555555"/>
  </r>
  <r>
    <x v="24"/>
    <x v="204"/>
    <x v="3"/>
    <x v="7"/>
    <x v="2"/>
    <x v="3"/>
    <n v="3130"/>
    <n v="37"/>
    <n v="53"/>
    <n v="7"/>
    <n v="4"/>
    <n v="472.09"/>
    <n v="229968"/>
    <n v="0.5714285714285714"/>
    <n v="486.12745451079246"/>
    <n v="1.1821086261980831E-2"/>
    <n v="67.441428571428574"/>
  </r>
  <r>
    <x v="24"/>
    <x v="205"/>
    <x v="3"/>
    <x v="7"/>
    <x v="0"/>
    <x v="0"/>
    <n v="5221"/>
    <n v="61"/>
    <n v="40"/>
    <n v="9"/>
    <n v="4"/>
    <n v="432.95"/>
    <n v="187748"/>
    <n v="0.44444444444444442"/>
    <n v="432.64822727797667"/>
    <n v="1.1683585520015322E-2"/>
    <n v="48.105555555555554"/>
  </r>
  <r>
    <x v="25"/>
    <x v="206"/>
    <x v="3"/>
    <x v="7"/>
    <x v="1"/>
    <x v="4"/>
    <n v="3955"/>
    <n v="70"/>
    <n v="61"/>
    <n v="8"/>
    <n v="2"/>
    <n v="469.5"/>
    <n v="114356"/>
    <n v="0.25"/>
    <n v="242.56975505857295"/>
    <n v="1.7699115044247787E-2"/>
    <n v="58.6875"/>
  </r>
  <r>
    <x v="25"/>
    <x v="207"/>
    <x v="3"/>
    <x v="7"/>
    <x v="5"/>
    <x v="3"/>
    <n v="4136"/>
    <n v="57"/>
    <n v="23"/>
    <n v="11"/>
    <n v="3"/>
    <n v="524.44000000000005"/>
    <n v="80289"/>
    <n v="0.27272727272727271"/>
    <n v="152.09472961635265"/>
    <n v="1.3781431334622824E-2"/>
    <n v="47.6763636363636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D13791-1152-4AE9-B654-70D6947D4B92}"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8" firstHeaderRow="0" firstDataRow="1" firstDataCol="1"/>
  <pivotFields count="17">
    <pivotField numFmtId="14" showAll="0"/>
    <pivotField showAll="0"/>
    <pivotField axis="axisRow" showAll="0">
      <items count="5">
        <item x="0"/>
        <item x="1"/>
        <item x="2"/>
        <item x="3"/>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numFmtId="9" showAll="0"/>
    <pivotField numFmtId="9" showAll="0"/>
    <pivotField numFmtId="9" showAll="0"/>
    <pivotField numFmtId="9" showAll="0"/>
  </pivotFields>
  <rowFields count="1">
    <field x="2"/>
  </rowFields>
  <rowItems count="5">
    <i>
      <x/>
    </i>
    <i>
      <x v="1"/>
    </i>
    <i>
      <x v="2"/>
    </i>
    <i>
      <x v="3"/>
    </i>
    <i t="grand">
      <x/>
    </i>
  </rowItems>
  <colFields count="1">
    <field x="-2"/>
  </colFields>
  <colItems count="4">
    <i>
      <x/>
    </i>
    <i i="1">
      <x v="1"/>
    </i>
    <i i="2">
      <x v="2"/>
    </i>
    <i i="3">
      <x v="3"/>
    </i>
  </colItems>
  <dataFields count="4">
    <dataField name="Sum of Spend_INR" fld="11" baseField="0" baseItem="0"/>
    <dataField name="Sum of Leads" fld="9" baseField="0" baseItem="0"/>
    <dataField name="Sum of Conversions" fld="10" baseField="0" baseItem="0"/>
    <dataField name="Sum of Revenue_INR" fld="12"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 chart="4" format="12">
      <pivotArea type="data" outline="0" fieldPosition="0">
        <references count="2">
          <reference field="4294967294" count="1" selected="0">
            <x v="3"/>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50CF56-5730-48F7-A4E1-4DF7B43E4FAD}"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0" firstHeaderRow="0" firstDataRow="1" firstDataCol="1"/>
  <pivotFields count="17">
    <pivotField numFmtId="14" showAll="0"/>
    <pivotField showAll="0"/>
    <pivotField showAll="0"/>
    <pivotField showAll="0"/>
    <pivotField axis="axisRow" showAll="0" sortType="descending">
      <items count="7">
        <item x="0"/>
        <item x="5"/>
        <item x="2"/>
        <item x="1"/>
        <item x="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dataField="1" showAll="0"/>
    <pivotField showAll="0"/>
    <pivotField dataField="1" showAll="0"/>
    <pivotField numFmtId="9" showAll="0"/>
    <pivotField numFmtId="9" showAll="0"/>
    <pivotField numFmtId="9" showAll="0"/>
    <pivotField numFmtId="9" showAll="0"/>
  </pivotFields>
  <rowFields count="1">
    <field x="4"/>
  </rowFields>
  <rowItems count="7">
    <i>
      <x v="3"/>
    </i>
    <i>
      <x v="2"/>
    </i>
    <i>
      <x v="1"/>
    </i>
    <i>
      <x v="4"/>
    </i>
    <i>
      <x v="5"/>
    </i>
    <i>
      <x/>
    </i>
    <i t="grand">
      <x/>
    </i>
  </rowItems>
  <colFields count="1">
    <field x="-2"/>
  </colFields>
  <colItems count="3">
    <i>
      <x/>
    </i>
    <i i="1">
      <x v="1"/>
    </i>
    <i i="2">
      <x v="2"/>
    </i>
  </colItems>
  <dataFields count="3">
    <dataField name="Sum of Conversions" fld="10" baseField="0" baseItem="0"/>
    <dataField name="Sum of Revenue_INR" fld="12" baseField="0" baseItem="0"/>
    <dataField name="Sum of Leads" fld="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472356-287F-4400-A99B-5BDFA76E08D3}"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0" firstDataRow="1" firstDataCol="1"/>
  <pivotFields count="17">
    <pivotField numFmtId="14" showAll="0"/>
    <pivotField showAll="0"/>
    <pivotField showAll="0"/>
    <pivotField showAll="0"/>
    <pivotField showAll="0"/>
    <pivotField axis="axisRow" showAll="0">
      <items count="6">
        <item x="0"/>
        <item x="4"/>
        <item x="2"/>
        <item x="3"/>
        <item x="1"/>
        <item t="default"/>
      </items>
    </pivotField>
    <pivotField showAll="0"/>
    <pivotField showAll="0"/>
    <pivotField showAll="0"/>
    <pivotField dataField="1" showAll="0"/>
    <pivotField dataField="1" showAll="0"/>
    <pivotField dataField="1" showAll="0"/>
    <pivotField dataField="1" showAll="0"/>
    <pivotField numFmtId="9" showAll="0"/>
    <pivotField numFmtId="9" showAll="0"/>
    <pivotField numFmtId="9" showAll="0"/>
    <pivotField numFmtId="9" showAll="0"/>
  </pivotFields>
  <rowFields count="1">
    <field x="5"/>
  </rowFields>
  <rowItems count="6">
    <i>
      <x/>
    </i>
    <i>
      <x v="1"/>
    </i>
    <i>
      <x v="2"/>
    </i>
    <i>
      <x v="3"/>
    </i>
    <i>
      <x v="4"/>
    </i>
    <i t="grand">
      <x/>
    </i>
  </rowItems>
  <colFields count="1">
    <field x="-2"/>
  </colFields>
  <colItems count="4">
    <i>
      <x/>
    </i>
    <i i="1">
      <x v="1"/>
    </i>
    <i i="2">
      <x v="2"/>
    </i>
    <i i="3">
      <x v="3"/>
    </i>
  </colItems>
  <dataFields count="4">
    <dataField name="Sum of Conversions" fld="10" baseField="0" baseItem="0"/>
    <dataField name="Sum of Spend_INR" fld="11" baseField="0" baseItem="0"/>
    <dataField name="Sum of Revenue_INR" fld="12" baseField="0" baseItem="0"/>
    <dataField name="Sum of Lead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2D4A31-4DD2-483E-88D5-051D4B547E1B}"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6" firstHeaderRow="0" firstDataRow="1" firstDataCol="1"/>
  <pivotFields count="17">
    <pivotField numFmtId="14"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measureFilter="1" sortType="descending">
      <items count="2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9">
        <item x="4"/>
        <item x="0"/>
        <item x="3"/>
        <item x="1"/>
        <item x="2"/>
        <item x="6"/>
        <item x="5"/>
        <item x="7"/>
        <item t="default"/>
      </items>
    </pivotField>
    <pivotField axis="axisRow" showAll="0">
      <items count="7">
        <item x="0"/>
        <item x="5"/>
        <item x="2"/>
        <item x="1"/>
        <item x="4"/>
        <item x="3"/>
        <item t="default"/>
      </items>
    </pivotField>
    <pivotField showAll="0">
      <items count="6">
        <item x="0"/>
        <item x="4"/>
        <item x="2"/>
        <item x="3"/>
        <item x="1"/>
        <item t="default"/>
      </items>
    </pivotField>
    <pivotField showAll="0"/>
    <pivotField showAll="0"/>
    <pivotField showAll="0"/>
    <pivotField showAll="0"/>
    <pivotField dataField="1" showAll="0"/>
    <pivotField dataField="1" showAll="0"/>
    <pivotField dataField="1" showAll="0"/>
    <pivotField numFmtId="9" showAll="0"/>
    <pivotField numFmtId="9" showAll="0"/>
    <pivotField numFmtId="9" showAll="0"/>
    <pivotField numFmtId="9" showAll="0"/>
  </pivotFields>
  <rowFields count="2">
    <field x="1"/>
    <field x="4"/>
  </rowFields>
  <rowItems count="13">
    <i>
      <x v="65"/>
    </i>
    <i r="1">
      <x v="5"/>
    </i>
    <i>
      <x v="69"/>
    </i>
    <i r="1">
      <x v="1"/>
    </i>
    <i>
      <x v="81"/>
    </i>
    <i r="1">
      <x v="3"/>
    </i>
    <i>
      <x v="78"/>
    </i>
    <i r="1">
      <x v="4"/>
    </i>
    <i>
      <x v="74"/>
    </i>
    <i r="1">
      <x v="3"/>
    </i>
    <i>
      <x v="70"/>
    </i>
    <i r="1">
      <x v="3"/>
    </i>
    <i t="grand">
      <x/>
    </i>
  </rowItems>
  <colFields count="1">
    <field x="-2"/>
  </colFields>
  <colItems count="3">
    <i>
      <x/>
    </i>
    <i i="1">
      <x v="1"/>
    </i>
    <i i="2">
      <x v="2"/>
    </i>
  </colItems>
  <dataFields count="3">
    <dataField name="Sum of Conversions" fld="10" baseField="0" baseItem="0"/>
    <dataField name="Sum of Revenue_INR" fld="12" baseField="0" baseItem="0"/>
    <dataField name="Sum of Spend_INR" fld="11" baseField="0" baseItem="0"/>
  </dataField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14620E-0ECA-4021-B459-4F4AA5A52099}"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5 Campaign">
  <location ref="B25:E38" firstHeaderRow="0" firstDataRow="1" firstDataCol="1"/>
  <pivotFields count="17">
    <pivotField numFmtId="14"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measureFilter="1" sortType="descending">
      <items count="2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items count="9">
        <item x="4"/>
        <item x="0"/>
        <item x="3"/>
        <item x="1"/>
        <item x="2"/>
        <item x="6"/>
        <item x="5"/>
        <item x="7"/>
        <item t="default"/>
      </items>
    </pivotField>
    <pivotField axis="axisRow" showAll="0">
      <items count="7">
        <item x="0"/>
        <item x="5"/>
        <item x="2"/>
        <item x="1"/>
        <item x="4"/>
        <item x="3"/>
        <item t="default"/>
      </items>
    </pivotField>
    <pivotField showAll="0">
      <items count="6">
        <item x="0"/>
        <item x="4"/>
        <item x="2"/>
        <item x="3"/>
        <item x="1"/>
        <item t="default"/>
      </items>
    </pivotField>
    <pivotField showAll="0"/>
    <pivotField showAll="0"/>
    <pivotField showAll="0"/>
    <pivotField showAll="0"/>
    <pivotField dataField="1" showAll="0"/>
    <pivotField dataField="1" showAll="0"/>
    <pivotField dataField="1" showAll="0"/>
    <pivotField numFmtId="9" showAll="0"/>
    <pivotField numFmtId="9" showAll="0"/>
    <pivotField numFmtId="9" showAll="0"/>
    <pivotField numFmtId="9" showAll="0"/>
  </pivotFields>
  <rowFields count="2">
    <field x="1"/>
    <field x="4"/>
  </rowFields>
  <rowItems count="13">
    <i>
      <x v="65"/>
    </i>
    <i r="1">
      <x v="5"/>
    </i>
    <i>
      <x v="69"/>
    </i>
    <i r="1">
      <x v="1"/>
    </i>
    <i>
      <x v="81"/>
    </i>
    <i r="1">
      <x v="3"/>
    </i>
    <i>
      <x v="78"/>
    </i>
    <i r="1">
      <x v="4"/>
    </i>
    <i>
      <x v="74"/>
    </i>
    <i r="1">
      <x v="3"/>
    </i>
    <i>
      <x v="70"/>
    </i>
    <i r="1">
      <x v="3"/>
    </i>
    <i t="grand">
      <x/>
    </i>
  </rowItems>
  <colFields count="1">
    <field x="-2"/>
  </colFields>
  <colItems count="3">
    <i>
      <x/>
    </i>
    <i i="1">
      <x v="1"/>
    </i>
    <i i="2">
      <x v="2"/>
    </i>
  </colItems>
  <dataFields count="3">
    <dataField name=" Conversions" fld="10" baseField="0" baseItem="0"/>
    <dataField name=" Revenue" fld="12" baseField="0" baseItem="0"/>
    <dataField name="Spend" fld="11" baseField="0" baseItem="0"/>
  </dataField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AF5D777-79E5-4414-A4DD-09FB732E919C}" autoFormatId="16" applyNumberFormats="0" applyBorderFormats="0" applyFontFormats="0" applyPatternFormats="0" applyAlignmentFormats="0" applyWidthHeightFormats="0">
  <queryTableRefresh nextId="18" unboundColumnsRight="4">
    <queryTableFields count="17">
      <queryTableField id="1" name="Date" tableColumnId="1"/>
      <queryTableField id="2" name="Campaign_ID" tableColumnId="2"/>
      <queryTableField id="3" name="Channel" tableColumnId="3"/>
      <queryTableField id="4" name="Source" tableColumnId="4"/>
      <queryTableField id="5" name="City" tableColumnId="5"/>
      <queryTableField id="6" name="Audience_Segment" tableColumnId="6"/>
      <queryTableField id="7" name="Impressions" tableColumnId="7"/>
      <queryTableField id="8" name="Clicks" tableColumnId="8"/>
      <queryTableField id="9" name="Website_Visits" tableColumnId="9"/>
      <queryTableField id="10" name="Leads" tableColumnId="10"/>
      <queryTableField id="11" name="Conversions" tableColumnId="11"/>
      <queryTableField id="12" name="Spend_INR" tableColumnId="12"/>
      <queryTableField id="13" name="Revenue_INR" tableColumnId="13"/>
      <queryTableField id="14" dataBound="0" tableColumnId="14"/>
      <queryTableField id="15" dataBound="0" tableColumnId="15"/>
      <queryTableField id="16" dataBound="0"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1BB07213-34BE-40E3-8023-0E5FFA367116}" sourceName="Channel">
  <pivotTables>
    <pivotTable tabId="8" name="PivotTable4"/>
    <pivotTable tabId="1" name="PivotTable5"/>
  </pivotTables>
  <data>
    <tabular pivotCacheId="109340407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60C07B42-CFDA-4386-89F2-5F77174A4961}" sourceName="Source">
  <pivotTables>
    <pivotTable tabId="8" name="PivotTable4"/>
    <pivotTable tabId="1" name="PivotTable5"/>
  </pivotTables>
  <data>
    <tabular pivotCacheId="1093404070">
      <items count="8">
        <i x="4" s="1"/>
        <i x="0" s="1"/>
        <i x="3" s="1"/>
        <i x="1" s="1"/>
        <i x="2" s="1"/>
        <i x="6" s="1"/>
        <i x="5"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2EA0044-DBFB-49A1-BE08-EDDE60AE13CE}" sourceName="City">
  <pivotTables>
    <pivotTable tabId="8" name="PivotTable4"/>
    <pivotTable tabId="1" name="PivotTable5"/>
  </pivotTables>
  <data>
    <tabular pivotCacheId="1093404070">
      <items count="6">
        <i x="0" s="1"/>
        <i x="5" s="1"/>
        <i x="2" s="1"/>
        <i x="1"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udience_Segment" xr10:uid="{D05D4425-912F-41CA-B775-2CE232E1B94F}" sourceName="Audience_Segment">
  <pivotTables>
    <pivotTable tabId="8" name="PivotTable4"/>
    <pivotTable tabId="1" name="PivotTable5"/>
  </pivotTables>
  <data>
    <tabular pivotCacheId="1093404070">
      <items count="5">
        <i x="0" s="1"/>
        <i x="4"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39C68A88-744F-4CCF-9CBE-63FFCEFFEEB2}" cache="Slicer_Channel" caption="Channel" style="SlicerStyleLight3" rowHeight="251883"/>
  <slicer name="Source" xr10:uid="{75E72CDB-194B-49F4-82D4-43A64F2ACF35}" cache="Slicer_Source" caption="Source" style="SlicerStyleLight3" rowHeight="251883"/>
  <slicer name="City" xr10:uid="{6451C76E-8F6C-47C7-AA10-1E1F93F514FD}" cache="Slicer_City" caption="City" style="SlicerStyleLight3" rowHeight="251883"/>
  <slicer name="Audience_Segment" xr10:uid="{F8FD2CA4-A88E-4F27-922C-6D626E18CA30}" cache="Slicer_Audience_Segment" caption="Audience_Segment" style="SlicerStyleLight3"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DF4F78-730C-4440-AA14-DA010F7F30A4}" name="MarketingData" displayName="MarketingData" ref="A1:Q209" tableType="queryTable" totalsRowShown="0">
  <autoFilter ref="A1:Q209" xr:uid="{FEDF4F78-730C-4440-AA14-DA010F7F30A4}"/>
  <tableColumns count="17">
    <tableColumn id="1" xr3:uid="{15145E1F-DE6E-4368-8035-69FBC2AEC8C0}" uniqueName="1" name="Date" queryTableFieldId="1" dataDxfId="10"/>
    <tableColumn id="2" xr3:uid="{2CEA188F-1D7C-445D-8BD9-10F2F8775DCD}" uniqueName="2" name="Campaign_ID" queryTableFieldId="2" dataDxfId="9"/>
    <tableColumn id="3" xr3:uid="{26D72BC4-FF86-4527-BA08-31194F8E022D}" uniqueName="3" name="Channel" queryTableFieldId="3" dataDxfId="8"/>
    <tableColumn id="4" xr3:uid="{32F7BC37-20A6-46B0-A616-09DB18B1232F}" uniqueName="4" name="Source" queryTableFieldId="4" dataDxfId="7"/>
    <tableColumn id="5" xr3:uid="{3D0CFECF-8F17-46EF-BF2F-8216F27FC2B3}" uniqueName="5" name="City" queryTableFieldId="5" dataDxfId="6"/>
    <tableColumn id="6" xr3:uid="{BAEB8A45-899A-4022-8075-EC5C33DCF9E3}" uniqueName="6" name="Audience_Segment" queryTableFieldId="6" dataDxfId="5"/>
    <tableColumn id="7" xr3:uid="{284E4A30-10E6-43C0-83D8-648CCC746C19}" uniqueName="7" name="Impressions" queryTableFieldId="7"/>
    <tableColumn id="8" xr3:uid="{67EB4F8E-7259-4752-B583-DB0BBD4B2FA9}" uniqueName="8" name="Clicks" queryTableFieldId="8"/>
    <tableColumn id="9" xr3:uid="{B4C7DEED-C3CA-41D8-ABD4-07703FFB6803}" uniqueName="9" name="Website_Visits" queryTableFieldId="9"/>
    <tableColumn id="10" xr3:uid="{031A1B6B-EF39-433D-8C51-0EF4FD0E58E9}" uniqueName="10" name="Leads" queryTableFieldId="10"/>
    <tableColumn id="11" xr3:uid="{31448AF1-10F6-4978-A244-5D86383B9F20}" uniqueName="11" name="Conversions" queryTableFieldId="11"/>
    <tableColumn id="12" xr3:uid="{3FBFBD6B-AF3B-42F2-AB1E-D39DE1480731}" uniqueName="12" name="Spend_INR" queryTableFieldId="12"/>
    <tableColumn id="13" xr3:uid="{F91F0B50-8EF2-489C-A585-DB7759FB2EA4}" uniqueName="13" name="Revenue_INR" queryTableFieldId="13"/>
    <tableColumn id="14" xr3:uid="{7D2F42B5-E567-4DC6-B703-FD70680FE71D}" uniqueName="14" name="Conversion_Rate" queryTableFieldId="14" dataCellStyle="Percent">
      <calculatedColumnFormula>IFERROR(MarketingData[[#This Row],[Conversions]]/MarketingData[[#This Row],[Leads]],0)</calculatedColumnFormula>
    </tableColumn>
    <tableColumn id="15" xr3:uid="{2E7FD747-BF84-4321-9584-C4866923C92C}" uniqueName="15" name="ROI" queryTableFieldId="15" dataCellStyle="Percent">
      <calculatedColumnFormula>IFERROR((M2-L2)/L2,0)</calculatedColumnFormula>
    </tableColumn>
    <tableColumn id="16" xr3:uid="{CE0FC55F-16A4-4CD5-90A3-6226116A46C9}" uniqueName="16" name="CTR" queryTableFieldId="16" dataCellStyle="Percent">
      <calculatedColumnFormula>IFERROR(MarketingData[[#This Row],[Clicks]]/MarketingData[[#This Row],[Impressions]],0)</calculatedColumnFormula>
    </tableColumn>
    <tableColumn id="17" xr3:uid="{7CC2D32F-0720-42DF-A2F5-E21C4C03DEFA}" uniqueName="17" name="CPL(Cost Per Lead)" queryTableFieldId="17" dataDxfId="4" dataCellStyle="Percent">
      <calculatedColumnFormula>IFERROR(MarketingData[[#This Row],[Spend_INR]]/MarketingData[[#This Row],[Leads]],0)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7276B2-B8F9-4630-AA3E-ECABD02323F3}" name="Table2" displayName="Table2" ref="B5:B6" totalsRowShown="0">
  <autoFilter ref="B5:B6" xr:uid="{1F7276B2-B8F9-4630-AA3E-ECABD02323F3}">
    <filterColumn colId="0" hiddenButton="1"/>
  </autoFilter>
  <tableColumns count="1">
    <tableColumn id="1" xr3:uid="{768F8190-71B4-41DC-A16C-27BAA3C5FE29}" name="Total Spend">
      <calculatedColumnFormula>SUM(MarketingData[Spend_INR])</calculatedColumnFormula>
    </tableColumn>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C12F8A-23C7-4DD2-863B-95894C931118}" name="Table3" displayName="Table3" ref="D5:D6" totalsRowShown="0">
  <autoFilter ref="D5:D6" xr:uid="{D1C12F8A-23C7-4DD2-863B-95894C931118}"/>
  <tableColumns count="1">
    <tableColumn id="1" xr3:uid="{55390E91-A52E-4CC9-B15E-30006F85E32E}" name="Total Leads">
      <calculatedColumnFormula>SUM(MarketingData[Leads])</calculatedColumnFormula>
    </tableColumn>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01BDAD-690D-4B4D-B195-AA92E4FA7C1E}" name="Table4" displayName="Table4" ref="F5:F6" totalsRowShown="0">
  <autoFilter ref="F5:F6" xr:uid="{1C01BDAD-690D-4B4D-B195-AA92E4FA7C1E}"/>
  <tableColumns count="1">
    <tableColumn id="1" xr3:uid="{C0000593-D998-4315-A083-BB1CFAB15F1D}" name="Total Conversions">
      <calculatedColumnFormula>SUM(MarketingData[Conversions])</calculatedColumnFormula>
    </tableColumn>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EEF64D-8D5D-40EC-9285-26E7068DB3AF}" name="Table5" displayName="Table5" ref="H5:H6" totalsRowShown="0">
  <autoFilter ref="H5:H6" xr:uid="{85EEF64D-8D5D-40EC-9285-26E7068DB3AF}"/>
  <tableColumns count="1">
    <tableColumn id="1" xr3:uid="{B3ECAA70-1BE2-477C-93FB-B052F1CF6A78}" name="Total Revenue">
      <calculatedColumnFormula>SUM(MarketingData[Revenue_INR])</calculatedColumnFormula>
    </tableColumn>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9C888C7-606E-4BFF-A608-43729710083E}" name="Table6" displayName="Table6" ref="J5:J6" totalsRowShown="0" dataDxfId="2" dataCellStyle="Percent">
  <autoFilter ref="J5:J6" xr:uid="{89C888C7-606E-4BFF-A608-43729710083E}"/>
  <tableColumns count="1">
    <tableColumn id="1" xr3:uid="{E4B4D879-3325-4B6D-8B5E-8FBA4EB56755}" name="Avg ROI" dataDxfId="3" dataCellStyle="Percent">
      <calculatedColumnFormula>IFERROR((SUM(MarketingData[Revenue_INR])-SUM(MarketingData[Spend_INR]))/SUM(MarketingData[Spend_INR]),0)</calculatedColumnFormula>
    </tableColumn>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0703395-F735-4FBF-B7BE-4EA391B7A474}" name="Table7" displayName="Table7" ref="L5:L6" totalsRowShown="0" dataDxfId="0" dataCellStyle="Percent">
  <autoFilter ref="L5:L6" xr:uid="{70703395-F735-4FBF-B7BE-4EA391B7A474}">
    <filterColumn colId="0" hiddenButton="1"/>
  </autoFilter>
  <tableColumns count="1">
    <tableColumn id="1" xr3:uid="{5F5A06FC-CBC0-4D2F-90B4-8306AA6F02CA}" name="Conversion Rate" dataDxfId="1" dataCellStyle="Percent">
      <calculatedColumnFormula>IFERROR(SUM(MarketingData[Conversions])/SUM(MarketingData[Leads]),0)</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drawing" Target="../drawings/drawing3.xml"/><Relationship Id="rId1" Type="http://schemas.openxmlformats.org/officeDocument/2006/relationships/pivotTable" Target="../pivotTables/pivotTable5.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70D20-4A5A-494F-9401-1FD370F7CAD1}">
  <dimension ref="A3:E8"/>
  <sheetViews>
    <sheetView topLeftCell="E1" workbookViewId="0">
      <selection activeCell="Q8" sqref="Q8"/>
    </sheetView>
  </sheetViews>
  <sheetFormatPr defaultRowHeight="14.5" x14ac:dyDescent="0.35"/>
  <cols>
    <col min="1" max="1" width="12.453125" bestFit="1" customWidth="1"/>
    <col min="2" max="2" width="16.26953125" bestFit="1" customWidth="1"/>
    <col min="3" max="3" width="11.90625" bestFit="1" customWidth="1"/>
    <col min="4" max="4" width="17.54296875" bestFit="1" customWidth="1"/>
    <col min="5" max="5" width="18.26953125" bestFit="1" customWidth="1"/>
  </cols>
  <sheetData>
    <row r="3" spans="1:5" x14ac:dyDescent="0.35">
      <c r="A3" s="4" t="s">
        <v>252</v>
      </c>
      <c r="B3" t="s">
        <v>254</v>
      </c>
      <c r="C3" t="s">
        <v>255</v>
      </c>
      <c r="D3" t="s">
        <v>256</v>
      </c>
      <c r="E3" t="s">
        <v>257</v>
      </c>
    </row>
    <row r="4" spans="1:5" x14ac:dyDescent="0.35">
      <c r="A4" s="5" t="s">
        <v>14</v>
      </c>
      <c r="B4" s="2">
        <v>23689.74</v>
      </c>
      <c r="C4" s="2">
        <v>386</v>
      </c>
      <c r="D4" s="2">
        <v>167</v>
      </c>
      <c r="E4" s="2">
        <v>7715094</v>
      </c>
    </row>
    <row r="5" spans="1:5" x14ac:dyDescent="0.35">
      <c r="A5" s="5" t="s">
        <v>80</v>
      </c>
      <c r="B5" s="2">
        <v>22317.620000000006</v>
      </c>
      <c r="C5" s="2">
        <v>514</v>
      </c>
      <c r="D5" s="2">
        <v>192</v>
      </c>
      <c r="E5" s="2">
        <v>9395335</v>
      </c>
    </row>
    <row r="6" spans="1:5" x14ac:dyDescent="0.35">
      <c r="A6" s="5" t="s">
        <v>136</v>
      </c>
      <c r="B6" s="2">
        <v>13175.989999999994</v>
      </c>
      <c r="C6" s="2">
        <v>874</v>
      </c>
      <c r="D6" s="2">
        <v>374</v>
      </c>
      <c r="E6" s="2">
        <v>17063912</v>
      </c>
    </row>
    <row r="7" spans="1:5" x14ac:dyDescent="0.35">
      <c r="A7" s="5" t="s">
        <v>137</v>
      </c>
      <c r="B7" s="2">
        <v>23566.13</v>
      </c>
      <c r="C7" s="2">
        <v>469</v>
      </c>
      <c r="D7" s="2">
        <v>180</v>
      </c>
      <c r="E7" s="2">
        <v>8448885</v>
      </c>
    </row>
    <row r="8" spans="1:5" x14ac:dyDescent="0.35">
      <c r="A8" s="5" t="s">
        <v>253</v>
      </c>
      <c r="B8" s="2">
        <v>82749.48000000001</v>
      </c>
      <c r="C8" s="2">
        <v>2243</v>
      </c>
      <c r="D8" s="2">
        <v>913</v>
      </c>
      <c r="E8" s="2">
        <v>42623226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A049A-702B-49DC-9FD5-644FCC9DB865}">
  <dimension ref="A3:D10"/>
  <sheetViews>
    <sheetView workbookViewId="0">
      <selection activeCell="N18" sqref="N18"/>
    </sheetView>
  </sheetViews>
  <sheetFormatPr defaultRowHeight="14.5" x14ac:dyDescent="0.35"/>
  <cols>
    <col min="1" max="1" width="12.453125" bestFit="1" customWidth="1"/>
    <col min="2" max="2" width="17.54296875" bestFit="1" customWidth="1"/>
    <col min="3" max="3" width="18.26953125" bestFit="1" customWidth="1"/>
    <col min="4" max="4" width="11.90625" bestFit="1" customWidth="1"/>
  </cols>
  <sheetData>
    <row r="3" spans="1:4" x14ac:dyDescent="0.35">
      <c r="A3" s="4" t="s">
        <v>252</v>
      </c>
      <c r="B3" t="s">
        <v>256</v>
      </c>
      <c r="C3" t="s">
        <v>257</v>
      </c>
      <c r="D3" t="s">
        <v>255</v>
      </c>
    </row>
    <row r="4" spans="1:4" x14ac:dyDescent="0.35">
      <c r="A4" s="5" t="s">
        <v>20</v>
      </c>
      <c r="B4" s="2">
        <v>188</v>
      </c>
      <c r="C4" s="2">
        <v>8496363</v>
      </c>
      <c r="D4" s="2">
        <v>475</v>
      </c>
    </row>
    <row r="5" spans="1:4" x14ac:dyDescent="0.35">
      <c r="A5" s="5" t="s">
        <v>25</v>
      </c>
      <c r="B5" s="2">
        <v>179</v>
      </c>
      <c r="C5" s="2">
        <v>8771286</v>
      </c>
      <c r="D5" s="2">
        <v>416</v>
      </c>
    </row>
    <row r="6" spans="1:4" x14ac:dyDescent="0.35">
      <c r="A6" s="5" t="s">
        <v>57</v>
      </c>
      <c r="B6" s="2">
        <v>167</v>
      </c>
      <c r="C6" s="2">
        <v>7005351</v>
      </c>
      <c r="D6" s="2">
        <v>424</v>
      </c>
    </row>
    <row r="7" spans="1:4" x14ac:dyDescent="0.35">
      <c r="A7" s="5" t="s">
        <v>34</v>
      </c>
      <c r="B7" s="2">
        <v>138</v>
      </c>
      <c r="C7" s="2">
        <v>6737433</v>
      </c>
      <c r="D7" s="2">
        <v>346</v>
      </c>
    </row>
    <row r="8" spans="1:4" x14ac:dyDescent="0.35">
      <c r="A8" s="5" t="s">
        <v>27</v>
      </c>
      <c r="B8" s="2">
        <v>131</v>
      </c>
      <c r="C8" s="2">
        <v>6138207</v>
      </c>
      <c r="D8" s="2">
        <v>318</v>
      </c>
    </row>
    <row r="9" spans="1:4" x14ac:dyDescent="0.35">
      <c r="A9" s="5" t="s">
        <v>16</v>
      </c>
      <c r="B9" s="2">
        <v>110</v>
      </c>
      <c r="C9" s="2">
        <v>5474586</v>
      </c>
      <c r="D9" s="2">
        <v>264</v>
      </c>
    </row>
    <row r="10" spans="1:4" x14ac:dyDescent="0.35">
      <c r="A10" s="5" t="s">
        <v>253</v>
      </c>
      <c r="B10" s="2">
        <v>913</v>
      </c>
      <c r="C10" s="2">
        <v>42623226</v>
      </c>
      <c r="D10" s="2">
        <v>2243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80306-D34D-4593-B5B5-04028DBB6FD0}">
  <dimension ref="A3:E9"/>
  <sheetViews>
    <sheetView workbookViewId="0">
      <selection activeCell="A3" sqref="A3:E9"/>
    </sheetView>
  </sheetViews>
  <sheetFormatPr defaultRowHeight="14.5" x14ac:dyDescent="0.35"/>
  <cols>
    <col min="1" max="1" width="14.1796875" bestFit="1" customWidth="1"/>
    <col min="2" max="2" width="17.54296875" bestFit="1" customWidth="1"/>
    <col min="3" max="3" width="16.26953125" bestFit="1" customWidth="1"/>
    <col min="4" max="4" width="18.26953125" bestFit="1" customWidth="1"/>
    <col min="5" max="5" width="11.90625" bestFit="1" customWidth="1"/>
  </cols>
  <sheetData>
    <row r="3" spans="1:5" x14ac:dyDescent="0.35">
      <c r="A3" s="4" t="s">
        <v>252</v>
      </c>
      <c r="B3" t="s">
        <v>256</v>
      </c>
      <c r="C3" t="s">
        <v>254</v>
      </c>
      <c r="D3" t="s">
        <v>257</v>
      </c>
      <c r="E3" t="s">
        <v>255</v>
      </c>
    </row>
    <row r="4" spans="1:5" x14ac:dyDescent="0.35">
      <c r="A4" s="5" t="s">
        <v>17</v>
      </c>
      <c r="B4" s="2">
        <v>138</v>
      </c>
      <c r="C4" s="2">
        <v>10252.089999999998</v>
      </c>
      <c r="D4" s="2">
        <v>7055240</v>
      </c>
      <c r="E4" s="2">
        <v>303</v>
      </c>
    </row>
    <row r="5" spans="1:5" x14ac:dyDescent="0.35">
      <c r="A5" s="5" t="s">
        <v>30</v>
      </c>
      <c r="B5" s="2">
        <v>222</v>
      </c>
      <c r="C5" s="2">
        <v>19327.989999999998</v>
      </c>
      <c r="D5" s="2">
        <v>9918345</v>
      </c>
      <c r="E5" s="2">
        <v>565</v>
      </c>
    </row>
    <row r="6" spans="1:5" x14ac:dyDescent="0.35">
      <c r="A6" s="5" t="s">
        <v>23</v>
      </c>
      <c r="B6" s="2">
        <v>163</v>
      </c>
      <c r="C6" s="2">
        <v>18430.52</v>
      </c>
      <c r="D6" s="2">
        <v>7543009</v>
      </c>
      <c r="E6" s="2">
        <v>429</v>
      </c>
    </row>
    <row r="7" spans="1:5" x14ac:dyDescent="0.35">
      <c r="A7" s="5" t="s">
        <v>28</v>
      </c>
      <c r="B7" s="2">
        <v>240</v>
      </c>
      <c r="C7" s="2">
        <v>22127.030000000002</v>
      </c>
      <c r="D7" s="2">
        <v>11092669</v>
      </c>
      <c r="E7" s="2">
        <v>555</v>
      </c>
    </row>
    <row r="8" spans="1:5" x14ac:dyDescent="0.35">
      <c r="A8" s="5" t="s">
        <v>21</v>
      </c>
      <c r="B8" s="2">
        <v>150</v>
      </c>
      <c r="C8" s="2">
        <v>12611.849999999997</v>
      </c>
      <c r="D8" s="2">
        <v>7013963</v>
      </c>
      <c r="E8" s="2">
        <v>391</v>
      </c>
    </row>
    <row r="9" spans="1:5" x14ac:dyDescent="0.35">
      <c r="A9" s="5" t="s">
        <v>253</v>
      </c>
      <c r="B9" s="2">
        <v>913</v>
      </c>
      <c r="C9" s="2">
        <v>82749.479999999981</v>
      </c>
      <c r="D9" s="2">
        <v>42623226</v>
      </c>
      <c r="E9" s="2">
        <v>2243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EA4C8-B7D9-4B28-9E58-44A30FD4A845}">
  <dimension ref="A3:D16"/>
  <sheetViews>
    <sheetView workbookViewId="0">
      <selection activeCell="A3" sqref="A3:D16"/>
    </sheetView>
  </sheetViews>
  <sheetFormatPr defaultRowHeight="14.5" x14ac:dyDescent="0.35"/>
  <cols>
    <col min="1" max="1" width="12.453125" bestFit="1" customWidth="1"/>
    <col min="2" max="2" width="17.54296875" bestFit="1" customWidth="1"/>
    <col min="3" max="3" width="18.26953125" bestFit="1" customWidth="1"/>
    <col min="4" max="4" width="16.26953125" bestFit="1" customWidth="1"/>
  </cols>
  <sheetData>
    <row r="3" spans="1:4" x14ac:dyDescent="0.35">
      <c r="A3" s="4" t="s">
        <v>252</v>
      </c>
      <c r="B3" t="s">
        <v>256</v>
      </c>
      <c r="C3" t="s">
        <v>257</v>
      </c>
      <c r="D3" t="s">
        <v>254</v>
      </c>
    </row>
    <row r="4" spans="1:4" x14ac:dyDescent="0.35">
      <c r="A4" s="5" t="s">
        <v>150</v>
      </c>
      <c r="B4" s="2">
        <v>15</v>
      </c>
      <c r="C4" s="2">
        <v>828840</v>
      </c>
      <c r="D4" s="2">
        <v>346.89</v>
      </c>
    </row>
    <row r="5" spans="1:4" x14ac:dyDescent="0.35">
      <c r="A5" s="6" t="s">
        <v>27</v>
      </c>
      <c r="B5" s="2">
        <v>15</v>
      </c>
      <c r="C5" s="2">
        <v>828840</v>
      </c>
      <c r="D5" s="2">
        <v>346.89</v>
      </c>
    </row>
    <row r="6" spans="1:4" x14ac:dyDescent="0.35">
      <c r="A6" s="5" t="s">
        <v>154</v>
      </c>
      <c r="B6" s="2">
        <v>14</v>
      </c>
      <c r="C6" s="2">
        <v>780402</v>
      </c>
      <c r="D6" s="2">
        <v>301.77</v>
      </c>
    </row>
    <row r="7" spans="1:4" x14ac:dyDescent="0.35">
      <c r="A7" s="6" t="s">
        <v>57</v>
      </c>
      <c r="B7" s="2">
        <v>14</v>
      </c>
      <c r="C7" s="2">
        <v>780402</v>
      </c>
      <c r="D7" s="2">
        <v>301.77</v>
      </c>
    </row>
    <row r="8" spans="1:4" x14ac:dyDescent="0.35">
      <c r="A8" s="5" t="s">
        <v>166</v>
      </c>
      <c r="B8" s="2">
        <v>13</v>
      </c>
      <c r="C8" s="2">
        <v>382278</v>
      </c>
      <c r="D8" s="2">
        <v>156.96</v>
      </c>
    </row>
    <row r="9" spans="1:4" x14ac:dyDescent="0.35">
      <c r="A9" s="6" t="s">
        <v>20</v>
      </c>
      <c r="B9" s="2">
        <v>13</v>
      </c>
      <c r="C9" s="2">
        <v>382278</v>
      </c>
      <c r="D9" s="2">
        <v>156.96</v>
      </c>
    </row>
    <row r="10" spans="1:4" x14ac:dyDescent="0.35">
      <c r="A10" s="5" t="s">
        <v>163</v>
      </c>
      <c r="B10" s="2">
        <v>12</v>
      </c>
      <c r="C10" s="2">
        <v>633840</v>
      </c>
      <c r="D10" s="2">
        <v>310.23</v>
      </c>
    </row>
    <row r="11" spans="1:4" x14ac:dyDescent="0.35">
      <c r="A11" s="6" t="s">
        <v>34</v>
      </c>
      <c r="B11" s="2">
        <v>12</v>
      </c>
      <c r="C11" s="2">
        <v>633840</v>
      </c>
      <c r="D11" s="2">
        <v>310.23</v>
      </c>
    </row>
    <row r="12" spans="1:4" x14ac:dyDescent="0.35">
      <c r="A12" s="5" t="s">
        <v>159</v>
      </c>
      <c r="B12" s="2">
        <v>12</v>
      </c>
      <c r="C12" s="2">
        <v>561492</v>
      </c>
      <c r="D12" s="2">
        <v>304.3</v>
      </c>
    </row>
    <row r="13" spans="1:4" x14ac:dyDescent="0.35">
      <c r="A13" s="6" t="s">
        <v>20</v>
      </c>
      <c r="B13" s="2">
        <v>12</v>
      </c>
      <c r="C13" s="2">
        <v>561492</v>
      </c>
      <c r="D13" s="2">
        <v>304.3</v>
      </c>
    </row>
    <row r="14" spans="1:4" x14ac:dyDescent="0.35">
      <c r="A14" s="5" t="s">
        <v>155</v>
      </c>
      <c r="B14" s="2">
        <v>12</v>
      </c>
      <c r="C14" s="2">
        <v>526572</v>
      </c>
      <c r="D14" s="2">
        <v>234.65</v>
      </c>
    </row>
    <row r="15" spans="1:4" x14ac:dyDescent="0.35">
      <c r="A15" s="6" t="s">
        <v>20</v>
      </c>
      <c r="B15" s="2">
        <v>12</v>
      </c>
      <c r="C15" s="2">
        <v>526572</v>
      </c>
      <c r="D15" s="2">
        <v>234.65</v>
      </c>
    </row>
    <row r="16" spans="1:4" x14ac:dyDescent="0.35">
      <c r="A16" s="5" t="s">
        <v>253</v>
      </c>
      <c r="B16" s="2">
        <v>78</v>
      </c>
      <c r="C16" s="2">
        <v>3713424</v>
      </c>
      <c r="D16" s="2">
        <v>1654.8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D6300-C09E-439F-BE69-A0BC60DD211D}">
  <dimension ref="A1:Q209"/>
  <sheetViews>
    <sheetView topLeftCell="A2" workbookViewId="0">
      <selection activeCell="C17" sqref="C17"/>
    </sheetView>
  </sheetViews>
  <sheetFormatPr defaultRowHeight="14.5" x14ac:dyDescent="0.35"/>
  <cols>
    <col min="1" max="1" width="9.08984375" bestFit="1" customWidth="1"/>
    <col min="2" max="2" width="14.26953125" bestFit="1" customWidth="1"/>
    <col min="3" max="3" width="11" bestFit="1" customWidth="1"/>
    <col min="4" max="4" width="11.08984375" bestFit="1" customWidth="1"/>
    <col min="5" max="5" width="7.90625" bestFit="1" customWidth="1"/>
    <col min="6" max="6" width="19.36328125" bestFit="1" customWidth="1"/>
    <col min="7" max="7" width="13.36328125" bestFit="1" customWidth="1"/>
    <col min="8" max="8" width="8.36328125" bestFit="1" customWidth="1"/>
    <col min="9" max="9" width="15.453125" bestFit="1" customWidth="1"/>
    <col min="10" max="10" width="8" bestFit="1" customWidth="1"/>
    <col min="11" max="11" width="13.453125" bestFit="1" customWidth="1"/>
    <col min="12" max="12" width="12.26953125" bestFit="1" customWidth="1"/>
    <col min="13" max="13" width="14.1796875" bestFit="1" customWidth="1"/>
    <col min="14" max="14" width="17.26953125" style="3" bestFit="1" customWidth="1"/>
    <col min="15" max="16" width="8.7265625" style="3"/>
  </cols>
  <sheetData>
    <row r="1" spans="1:17" x14ac:dyDescent="0.35">
      <c r="A1" t="s">
        <v>0</v>
      </c>
      <c r="B1" t="s">
        <v>1</v>
      </c>
      <c r="C1" t="s">
        <v>2</v>
      </c>
      <c r="D1" t="s">
        <v>3</v>
      </c>
      <c r="E1" t="s">
        <v>4</v>
      </c>
      <c r="F1" t="s">
        <v>5</v>
      </c>
      <c r="G1" t="s">
        <v>6</v>
      </c>
      <c r="H1" t="s">
        <v>7</v>
      </c>
      <c r="I1" t="s">
        <v>8</v>
      </c>
      <c r="J1" t="s">
        <v>9</v>
      </c>
      <c r="K1" t="s">
        <v>10</v>
      </c>
      <c r="L1" t="s">
        <v>11</v>
      </c>
      <c r="M1" t="s">
        <v>12</v>
      </c>
      <c r="N1" s="3" t="s">
        <v>242</v>
      </c>
      <c r="O1" s="3" t="s">
        <v>243</v>
      </c>
      <c r="P1" s="3" t="s">
        <v>244</v>
      </c>
      <c r="Q1" t="s">
        <v>245</v>
      </c>
    </row>
    <row r="2" spans="1:17" x14ac:dyDescent="0.35">
      <c r="A2" s="1">
        <v>46235</v>
      </c>
      <c r="B2" s="2" t="s">
        <v>13</v>
      </c>
      <c r="C2" s="2" t="s">
        <v>14</v>
      </c>
      <c r="D2" s="2" t="s">
        <v>15</v>
      </c>
      <c r="E2" s="2" t="s">
        <v>16</v>
      </c>
      <c r="F2" s="2" t="s">
        <v>17</v>
      </c>
      <c r="G2">
        <v>1902</v>
      </c>
      <c r="H2">
        <v>70</v>
      </c>
      <c r="I2">
        <v>56</v>
      </c>
      <c r="J2">
        <v>4</v>
      </c>
      <c r="K2">
        <v>2</v>
      </c>
      <c r="L2">
        <v>382.04</v>
      </c>
      <c r="M2">
        <v>138696</v>
      </c>
      <c r="N2" s="3">
        <f>IFERROR(MarketingData[[#This Row],[Conversions]]/MarketingData[[#This Row],[Leads]],0)</f>
        <v>0.5</v>
      </c>
      <c r="O2" s="3">
        <f t="shared" ref="O2:O65" si="0">IFERROR((M2-L2)/L2,0)</f>
        <v>362.04051931734892</v>
      </c>
      <c r="P2" s="3">
        <f>IFERROR(MarketingData[[#This Row],[Clicks]]/MarketingData[[#This Row],[Impressions]],0)</f>
        <v>3.6803364879074658E-2</v>
      </c>
      <c r="Q2" s="3">
        <f>IFERROR(MarketingData[[#This Row],[Spend_INR]]/MarketingData[[#This Row],[Leads]],0)</f>
        <v>95.51</v>
      </c>
    </row>
    <row r="3" spans="1:17" x14ac:dyDescent="0.35">
      <c r="A3" s="1">
        <v>46235</v>
      </c>
      <c r="B3" s="2" t="s">
        <v>18</v>
      </c>
      <c r="C3" s="2" t="s">
        <v>14</v>
      </c>
      <c r="D3" s="2" t="s">
        <v>19</v>
      </c>
      <c r="E3" s="2" t="s">
        <v>20</v>
      </c>
      <c r="F3" s="2" t="s">
        <v>21</v>
      </c>
      <c r="G3">
        <v>3869</v>
      </c>
      <c r="H3">
        <v>112</v>
      </c>
      <c r="I3">
        <v>89</v>
      </c>
      <c r="J3">
        <v>5</v>
      </c>
      <c r="K3">
        <v>3</v>
      </c>
      <c r="L3">
        <v>402.65</v>
      </c>
      <c r="M3">
        <v>182139</v>
      </c>
      <c r="N3" s="3">
        <f>IFERROR(MarketingData[[#This Row],[Conversions]]/MarketingData[[#This Row],[Leads]],0)</f>
        <v>0.6</v>
      </c>
      <c r="O3" s="3">
        <f t="shared" si="0"/>
        <v>451.35067676642251</v>
      </c>
      <c r="P3" s="3">
        <f>IFERROR(MarketingData[[#This Row],[Clicks]]/MarketingData[[#This Row],[Impressions]],0)</f>
        <v>2.8948048591367279E-2</v>
      </c>
      <c r="Q3" s="3">
        <f>IFERROR(MarketingData[[#This Row],[Spend_INR]]/MarketingData[[#This Row],[Leads]],0)</f>
        <v>80.53</v>
      </c>
    </row>
    <row r="4" spans="1:17" x14ac:dyDescent="0.35">
      <c r="A4" s="1">
        <v>46237</v>
      </c>
      <c r="B4" s="2" t="s">
        <v>22</v>
      </c>
      <c r="C4" s="2" t="s">
        <v>14</v>
      </c>
      <c r="D4" s="2" t="s">
        <v>15</v>
      </c>
      <c r="E4" s="2" t="s">
        <v>16</v>
      </c>
      <c r="F4" s="2" t="s">
        <v>23</v>
      </c>
      <c r="G4">
        <v>3193</v>
      </c>
      <c r="H4">
        <v>70</v>
      </c>
      <c r="I4">
        <v>56</v>
      </c>
      <c r="J4">
        <v>7</v>
      </c>
      <c r="K4">
        <v>2</v>
      </c>
      <c r="L4">
        <v>498.66</v>
      </c>
      <c r="M4">
        <v>99796</v>
      </c>
      <c r="N4" s="3">
        <f>IFERROR(MarketingData[[#This Row],[Conversions]]/MarketingData[[#This Row],[Leads]],0)</f>
        <v>0.2857142857142857</v>
      </c>
      <c r="O4" s="3">
        <f t="shared" si="0"/>
        <v>199.12834396181765</v>
      </c>
      <c r="P4" s="3">
        <f>IFERROR(MarketingData[[#This Row],[Clicks]]/MarketingData[[#This Row],[Impressions]],0)</f>
        <v>2.1922956467272159E-2</v>
      </c>
      <c r="Q4" s="3">
        <f>IFERROR(MarketingData[[#This Row],[Spend_INR]]/MarketingData[[#This Row],[Leads]],0)</f>
        <v>71.237142857142857</v>
      </c>
    </row>
    <row r="5" spans="1:17" x14ac:dyDescent="0.35">
      <c r="A5" s="1">
        <v>46237</v>
      </c>
      <c r="B5" s="2" t="s">
        <v>24</v>
      </c>
      <c r="C5" s="2" t="s">
        <v>14</v>
      </c>
      <c r="D5" s="2" t="s">
        <v>19</v>
      </c>
      <c r="E5" s="2" t="s">
        <v>25</v>
      </c>
      <c r="F5" s="2" t="s">
        <v>17</v>
      </c>
      <c r="G5">
        <v>3350</v>
      </c>
      <c r="H5">
        <v>45</v>
      </c>
      <c r="I5">
        <v>36</v>
      </c>
      <c r="J5">
        <v>12</v>
      </c>
      <c r="K5">
        <v>6</v>
      </c>
      <c r="L5">
        <v>409.68</v>
      </c>
      <c r="M5">
        <v>292200</v>
      </c>
      <c r="N5" s="3">
        <f>IFERROR(MarketingData[[#This Row],[Conversions]]/MarketingData[[#This Row],[Leads]],0)</f>
        <v>0.5</v>
      </c>
      <c r="O5" s="3">
        <f t="shared" si="0"/>
        <v>712.23960164030461</v>
      </c>
      <c r="P5" s="3">
        <f>IFERROR(MarketingData[[#This Row],[Clicks]]/MarketingData[[#This Row],[Impressions]],0)</f>
        <v>1.3432835820895522E-2</v>
      </c>
      <c r="Q5" s="3">
        <f>IFERROR(MarketingData[[#This Row],[Spend_INR]]/MarketingData[[#This Row],[Leads]],0)</f>
        <v>34.14</v>
      </c>
    </row>
    <row r="6" spans="1:17" x14ac:dyDescent="0.35">
      <c r="A6" s="1">
        <v>46238</v>
      </c>
      <c r="B6" s="2" t="s">
        <v>26</v>
      </c>
      <c r="C6" s="2" t="s">
        <v>14</v>
      </c>
      <c r="D6" s="2" t="s">
        <v>15</v>
      </c>
      <c r="E6" s="2" t="s">
        <v>27</v>
      </c>
      <c r="F6" s="2" t="s">
        <v>28</v>
      </c>
      <c r="G6">
        <v>2753</v>
      </c>
      <c r="H6">
        <v>47</v>
      </c>
      <c r="I6">
        <v>37</v>
      </c>
      <c r="J6">
        <v>9</v>
      </c>
      <c r="K6">
        <v>4</v>
      </c>
      <c r="L6">
        <v>394.21</v>
      </c>
      <c r="M6">
        <v>195636</v>
      </c>
      <c r="N6" s="3">
        <f>IFERROR(MarketingData[[#This Row],[Conversions]]/MarketingData[[#This Row],[Leads]],0)</f>
        <v>0.44444444444444442</v>
      </c>
      <c r="O6" s="3">
        <f t="shared" si="0"/>
        <v>495.27355977778348</v>
      </c>
      <c r="P6" s="3">
        <f>IFERROR(MarketingData[[#This Row],[Clicks]]/MarketingData[[#This Row],[Impressions]],0)</f>
        <v>1.7072284780239737E-2</v>
      </c>
      <c r="Q6" s="3">
        <f>IFERROR(MarketingData[[#This Row],[Spend_INR]]/MarketingData[[#This Row],[Leads]],0)</f>
        <v>43.801111111111112</v>
      </c>
    </row>
    <row r="7" spans="1:17" x14ac:dyDescent="0.35">
      <c r="A7" s="1">
        <v>46238</v>
      </c>
      <c r="B7" s="2" t="s">
        <v>29</v>
      </c>
      <c r="C7" s="2" t="s">
        <v>14</v>
      </c>
      <c r="D7" s="2" t="s">
        <v>19</v>
      </c>
      <c r="E7" s="2" t="s">
        <v>16</v>
      </c>
      <c r="F7" s="2" t="s">
        <v>30</v>
      </c>
      <c r="G7">
        <v>4295</v>
      </c>
      <c r="H7">
        <v>116</v>
      </c>
      <c r="I7">
        <v>92</v>
      </c>
      <c r="J7">
        <v>5</v>
      </c>
      <c r="K7">
        <v>2</v>
      </c>
      <c r="L7">
        <v>375.4</v>
      </c>
      <c r="M7">
        <v>99734</v>
      </c>
      <c r="N7" s="3">
        <f>IFERROR(MarketingData[[#This Row],[Conversions]]/MarketingData[[#This Row],[Leads]],0)</f>
        <v>0.4</v>
      </c>
      <c r="O7" s="3">
        <f t="shared" si="0"/>
        <v>264.67394778902508</v>
      </c>
      <c r="P7" s="3">
        <f>IFERROR(MarketingData[[#This Row],[Clicks]]/MarketingData[[#This Row],[Impressions]],0)</f>
        <v>2.7008149010477298E-2</v>
      </c>
      <c r="Q7" s="3">
        <f>IFERROR(MarketingData[[#This Row],[Spend_INR]]/MarketingData[[#This Row],[Leads]],0)</f>
        <v>75.08</v>
      </c>
    </row>
    <row r="8" spans="1:17" x14ac:dyDescent="0.35">
      <c r="A8" s="1">
        <v>46239</v>
      </c>
      <c r="B8" s="2" t="s">
        <v>31</v>
      </c>
      <c r="C8" s="2" t="s">
        <v>14</v>
      </c>
      <c r="D8" s="2" t="s">
        <v>15</v>
      </c>
      <c r="E8" s="2" t="s">
        <v>27</v>
      </c>
      <c r="F8" s="2" t="s">
        <v>28</v>
      </c>
      <c r="G8">
        <v>2896</v>
      </c>
      <c r="H8">
        <v>43</v>
      </c>
      <c r="I8">
        <v>34</v>
      </c>
      <c r="J8">
        <v>11</v>
      </c>
      <c r="K8">
        <v>6</v>
      </c>
      <c r="L8">
        <v>505.32</v>
      </c>
      <c r="M8">
        <v>273732</v>
      </c>
      <c r="N8" s="3">
        <f>IFERROR(MarketingData[[#This Row],[Conversions]]/MarketingData[[#This Row],[Leads]],0)</f>
        <v>0.54545454545454541</v>
      </c>
      <c r="O8" s="3">
        <f t="shared" si="0"/>
        <v>540.70030871526956</v>
      </c>
      <c r="P8" s="3">
        <f>IFERROR(MarketingData[[#This Row],[Clicks]]/MarketingData[[#This Row],[Impressions]],0)</f>
        <v>1.4848066298342542E-2</v>
      </c>
      <c r="Q8" s="3">
        <f>IFERROR(MarketingData[[#This Row],[Spend_INR]]/MarketingData[[#This Row],[Leads]],0)</f>
        <v>45.938181818181818</v>
      </c>
    </row>
    <row r="9" spans="1:17" x14ac:dyDescent="0.35">
      <c r="A9" s="1">
        <v>46239</v>
      </c>
      <c r="B9" s="2" t="s">
        <v>32</v>
      </c>
      <c r="C9" s="2" t="s">
        <v>14</v>
      </c>
      <c r="D9" s="2" t="s">
        <v>19</v>
      </c>
      <c r="E9" s="2" t="s">
        <v>20</v>
      </c>
      <c r="F9" s="2" t="s">
        <v>21</v>
      </c>
      <c r="G9">
        <v>4099</v>
      </c>
      <c r="H9">
        <v>103</v>
      </c>
      <c r="I9">
        <v>82</v>
      </c>
      <c r="J9">
        <v>11</v>
      </c>
      <c r="K9">
        <v>4</v>
      </c>
      <c r="L9">
        <v>426.27</v>
      </c>
      <c r="M9">
        <v>252968</v>
      </c>
      <c r="N9" s="3">
        <f>IFERROR(MarketingData[[#This Row],[Conversions]]/MarketingData[[#This Row],[Leads]],0)</f>
        <v>0.36363636363636365</v>
      </c>
      <c r="O9" s="3">
        <f t="shared" si="0"/>
        <v>592.44546883430689</v>
      </c>
      <c r="P9" s="3">
        <f>IFERROR(MarketingData[[#This Row],[Clicks]]/MarketingData[[#This Row],[Impressions]],0)</f>
        <v>2.5128080019516955E-2</v>
      </c>
      <c r="Q9" s="3">
        <f>IFERROR(MarketingData[[#This Row],[Spend_INR]]/MarketingData[[#This Row],[Leads]],0)</f>
        <v>38.75181818181818</v>
      </c>
    </row>
    <row r="10" spans="1:17" x14ac:dyDescent="0.35">
      <c r="A10" s="1">
        <v>46240</v>
      </c>
      <c r="B10" s="2" t="s">
        <v>33</v>
      </c>
      <c r="C10" s="2" t="s">
        <v>14</v>
      </c>
      <c r="D10" s="2" t="s">
        <v>15</v>
      </c>
      <c r="E10" s="2" t="s">
        <v>34</v>
      </c>
      <c r="F10" s="2" t="s">
        <v>21</v>
      </c>
      <c r="G10">
        <v>2249</v>
      </c>
      <c r="H10">
        <v>54</v>
      </c>
      <c r="I10">
        <v>43</v>
      </c>
      <c r="J10">
        <v>12</v>
      </c>
      <c r="K10">
        <v>5</v>
      </c>
      <c r="L10">
        <v>416.47</v>
      </c>
      <c r="M10">
        <v>145815</v>
      </c>
      <c r="N10" s="3">
        <f>IFERROR(MarketingData[[#This Row],[Conversions]]/MarketingData[[#This Row],[Leads]],0)</f>
        <v>0.41666666666666669</v>
      </c>
      <c r="O10" s="3">
        <f t="shared" si="0"/>
        <v>349.12125723341416</v>
      </c>
      <c r="P10" s="3">
        <f>IFERROR(MarketingData[[#This Row],[Clicks]]/MarketingData[[#This Row],[Impressions]],0)</f>
        <v>2.4010671409515339E-2</v>
      </c>
      <c r="Q10" s="3">
        <f>IFERROR(MarketingData[[#This Row],[Spend_INR]]/MarketingData[[#This Row],[Leads]],0)</f>
        <v>34.705833333333338</v>
      </c>
    </row>
    <row r="11" spans="1:17" x14ac:dyDescent="0.35">
      <c r="A11" s="1">
        <v>46240</v>
      </c>
      <c r="B11" s="2" t="s">
        <v>35</v>
      </c>
      <c r="C11" s="2" t="s">
        <v>14</v>
      </c>
      <c r="D11" s="2" t="s">
        <v>19</v>
      </c>
      <c r="E11" s="2" t="s">
        <v>16</v>
      </c>
      <c r="F11" s="2" t="s">
        <v>28</v>
      </c>
      <c r="G11">
        <v>3999</v>
      </c>
      <c r="H11">
        <v>69</v>
      </c>
      <c r="I11">
        <v>55</v>
      </c>
      <c r="J11">
        <v>7</v>
      </c>
      <c r="K11">
        <v>2</v>
      </c>
      <c r="L11">
        <v>429.17</v>
      </c>
      <c r="M11">
        <v>106984</v>
      </c>
      <c r="N11" s="3">
        <f>IFERROR(MarketingData[[#This Row],[Conversions]]/MarketingData[[#This Row],[Leads]],0)</f>
        <v>0.2857142857142857</v>
      </c>
      <c r="O11" s="3">
        <f t="shared" si="0"/>
        <v>248.2811706316844</v>
      </c>
      <c r="P11" s="3">
        <f>IFERROR(MarketingData[[#This Row],[Clicks]]/MarketingData[[#This Row],[Impressions]],0)</f>
        <v>1.72543135783946E-2</v>
      </c>
      <c r="Q11" s="3">
        <f>IFERROR(MarketingData[[#This Row],[Spend_INR]]/MarketingData[[#This Row],[Leads]],0)</f>
        <v>61.31</v>
      </c>
    </row>
    <row r="12" spans="1:17" x14ac:dyDescent="0.35">
      <c r="A12" s="1">
        <v>46241</v>
      </c>
      <c r="B12" s="2" t="s">
        <v>36</v>
      </c>
      <c r="C12" s="2" t="s">
        <v>14</v>
      </c>
      <c r="D12" s="2" t="s">
        <v>15</v>
      </c>
      <c r="E12" s="2" t="s">
        <v>25</v>
      </c>
      <c r="F12" s="2" t="s">
        <v>30</v>
      </c>
      <c r="G12">
        <v>4361</v>
      </c>
      <c r="H12">
        <v>73</v>
      </c>
      <c r="I12">
        <v>58</v>
      </c>
      <c r="J12">
        <v>10</v>
      </c>
      <c r="K12">
        <v>5</v>
      </c>
      <c r="L12">
        <v>435.75</v>
      </c>
      <c r="M12">
        <v>175080</v>
      </c>
      <c r="N12" s="3">
        <f>IFERROR(MarketingData[[#This Row],[Conversions]]/MarketingData[[#This Row],[Leads]],0)</f>
        <v>0.5</v>
      </c>
      <c r="O12" s="3">
        <f t="shared" si="0"/>
        <v>400.79001721170397</v>
      </c>
      <c r="P12" s="3">
        <f>IFERROR(MarketingData[[#This Row],[Clicks]]/MarketingData[[#This Row],[Impressions]],0)</f>
        <v>1.6739279981655582E-2</v>
      </c>
      <c r="Q12" s="3">
        <f>IFERROR(MarketingData[[#This Row],[Spend_INR]]/MarketingData[[#This Row],[Leads]],0)</f>
        <v>43.575000000000003</v>
      </c>
    </row>
    <row r="13" spans="1:17" x14ac:dyDescent="0.35">
      <c r="A13" s="1">
        <v>46241</v>
      </c>
      <c r="B13" s="2" t="s">
        <v>37</v>
      </c>
      <c r="C13" s="2" t="s">
        <v>14</v>
      </c>
      <c r="D13" s="2" t="s">
        <v>19</v>
      </c>
      <c r="E13" s="2" t="s">
        <v>34</v>
      </c>
      <c r="F13" s="2" t="s">
        <v>21</v>
      </c>
      <c r="G13">
        <v>3059</v>
      </c>
      <c r="H13">
        <v>65</v>
      </c>
      <c r="I13">
        <v>52</v>
      </c>
      <c r="J13">
        <v>11</v>
      </c>
      <c r="K13">
        <v>6</v>
      </c>
      <c r="L13">
        <v>446.37</v>
      </c>
      <c r="M13">
        <v>183678</v>
      </c>
      <c r="N13" s="3">
        <f>IFERROR(MarketingData[[#This Row],[Conversions]]/MarketingData[[#This Row],[Leads]],0)</f>
        <v>0.54545454545454541</v>
      </c>
      <c r="O13" s="3">
        <f t="shared" si="0"/>
        <v>410.49270784326905</v>
      </c>
      <c r="P13" s="3">
        <f>IFERROR(MarketingData[[#This Row],[Clicks]]/MarketingData[[#This Row],[Impressions]],0)</f>
        <v>2.1248774109186009E-2</v>
      </c>
      <c r="Q13" s="3">
        <f>IFERROR(MarketingData[[#This Row],[Spend_INR]]/MarketingData[[#This Row],[Leads]],0)</f>
        <v>40.579090909090908</v>
      </c>
    </row>
    <row r="14" spans="1:17" x14ac:dyDescent="0.35">
      <c r="A14" s="1">
        <v>46242</v>
      </c>
      <c r="B14" s="2" t="s">
        <v>38</v>
      </c>
      <c r="C14" s="2" t="s">
        <v>14</v>
      </c>
      <c r="D14" s="2" t="s">
        <v>15</v>
      </c>
      <c r="E14" s="2" t="s">
        <v>25</v>
      </c>
      <c r="F14" s="2" t="s">
        <v>28</v>
      </c>
      <c r="G14">
        <v>2885</v>
      </c>
      <c r="H14">
        <v>102</v>
      </c>
      <c r="I14">
        <v>81</v>
      </c>
      <c r="J14">
        <v>8</v>
      </c>
      <c r="K14">
        <v>5</v>
      </c>
      <c r="L14">
        <v>487.24</v>
      </c>
      <c r="M14">
        <v>301715</v>
      </c>
      <c r="N14" s="3">
        <f>IFERROR(MarketingData[[#This Row],[Conversions]]/MarketingData[[#This Row],[Leads]],0)</f>
        <v>0.625</v>
      </c>
      <c r="O14" s="3">
        <f t="shared" si="0"/>
        <v>618.23282160742144</v>
      </c>
      <c r="P14" s="3">
        <f>IFERROR(MarketingData[[#This Row],[Clicks]]/MarketingData[[#This Row],[Impressions]],0)</f>
        <v>3.5355285961871749E-2</v>
      </c>
      <c r="Q14" s="3">
        <f>IFERROR(MarketingData[[#This Row],[Spend_INR]]/MarketingData[[#This Row],[Leads]],0)</f>
        <v>60.905000000000001</v>
      </c>
    </row>
    <row r="15" spans="1:17" x14ac:dyDescent="0.35">
      <c r="A15" s="1">
        <v>46242</v>
      </c>
      <c r="B15" s="2" t="s">
        <v>39</v>
      </c>
      <c r="C15" s="2" t="s">
        <v>14</v>
      </c>
      <c r="D15" s="2" t="s">
        <v>19</v>
      </c>
      <c r="E15" s="2" t="s">
        <v>34</v>
      </c>
      <c r="F15" s="2" t="s">
        <v>28</v>
      </c>
      <c r="G15">
        <v>2720</v>
      </c>
      <c r="H15">
        <v>43</v>
      </c>
      <c r="I15">
        <v>34</v>
      </c>
      <c r="J15">
        <v>11</v>
      </c>
      <c r="K15">
        <v>5</v>
      </c>
      <c r="L15">
        <v>433.81</v>
      </c>
      <c r="M15">
        <v>317820</v>
      </c>
      <c r="N15" s="3">
        <f>IFERROR(MarketingData[[#This Row],[Conversions]]/MarketingData[[#This Row],[Leads]],0)</f>
        <v>0.45454545454545453</v>
      </c>
      <c r="O15" s="3">
        <f t="shared" si="0"/>
        <v>731.62488186072244</v>
      </c>
      <c r="P15" s="3">
        <f>IFERROR(MarketingData[[#This Row],[Clicks]]/MarketingData[[#This Row],[Impressions]],0)</f>
        <v>1.5808823529411764E-2</v>
      </c>
      <c r="Q15" s="3">
        <f>IFERROR(MarketingData[[#This Row],[Spend_INR]]/MarketingData[[#This Row],[Leads]],0)</f>
        <v>39.437272727272727</v>
      </c>
    </row>
    <row r="16" spans="1:17" x14ac:dyDescent="0.35">
      <c r="A16" s="1">
        <v>46244</v>
      </c>
      <c r="B16" s="2" t="s">
        <v>40</v>
      </c>
      <c r="C16" s="2" t="s">
        <v>14</v>
      </c>
      <c r="D16" s="2" t="s">
        <v>15</v>
      </c>
      <c r="E16" s="2" t="s">
        <v>34</v>
      </c>
      <c r="F16" s="2" t="s">
        <v>28</v>
      </c>
      <c r="G16">
        <v>2090</v>
      </c>
      <c r="H16">
        <v>100</v>
      </c>
      <c r="I16">
        <v>80</v>
      </c>
      <c r="J16">
        <v>12</v>
      </c>
      <c r="K16">
        <v>5</v>
      </c>
      <c r="L16">
        <v>466.18</v>
      </c>
      <c r="M16">
        <v>301695</v>
      </c>
      <c r="N16" s="3">
        <f>IFERROR(MarketingData[[#This Row],[Conversions]]/MarketingData[[#This Row],[Leads]],0)</f>
        <v>0.41666666666666669</v>
      </c>
      <c r="O16" s="3">
        <f t="shared" si="0"/>
        <v>646.16418550774381</v>
      </c>
      <c r="P16" s="3">
        <f>IFERROR(MarketingData[[#This Row],[Clicks]]/MarketingData[[#This Row],[Impressions]],0)</f>
        <v>4.784688995215311E-2</v>
      </c>
      <c r="Q16" s="3">
        <f>IFERROR(MarketingData[[#This Row],[Spend_INR]]/MarketingData[[#This Row],[Leads]],0)</f>
        <v>38.848333333333336</v>
      </c>
    </row>
    <row r="17" spans="1:17" x14ac:dyDescent="0.35">
      <c r="A17" s="1">
        <v>46244</v>
      </c>
      <c r="B17" s="2" t="s">
        <v>41</v>
      </c>
      <c r="C17" s="2" t="s">
        <v>14</v>
      </c>
      <c r="D17" s="2" t="s">
        <v>19</v>
      </c>
      <c r="E17" s="2" t="s">
        <v>34</v>
      </c>
      <c r="F17" s="2" t="s">
        <v>23</v>
      </c>
      <c r="G17">
        <v>4499</v>
      </c>
      <c r="H17">
        <v>90</v>
      </c>
      <c r="I17">
        <v>72</v>
      </c>
      <c r="J17">
        <v>8</v>
      </c>
      <c r="K17">
        <v>3</v>
      </c>
      <c r="L17">
        <v>391.89</v>
      </c>
      <c r="M17">
        <v>85650</v>
      </c>
      <c r="N17" s="3">
        <f>IFERROR(MarketingData[[#This Row],[Conversions]]/MarketingData[[#This Row],[Leads]],0)</f>
        <v>0.375</v>
      </c>
      <c r="O17" s="3">
        <f t="shared" si="0"/>
        <v>217.55622751282249</v>
      </c>
      <c r="P17" s="3">
        <f>IFERROR(MarketingData[[#This Row],[Clicks]]/MarketingData[[#This Row],[Impressions]],0)</f>
        <v>2.0004445432318291E-2</v>
      </c>
      <c r="Q17" s="3">
        <f>IFERROR(MarketingData[[#This Row],[Spend_INR]]/MarketingData[[#This Row],[Leads]],0)</f>
        <v>48.986249999999998</v>
      </c>
    </row>
    <row r="18" spans="1:17" x14ac:dyDescent="0.35">
      <c r="A18" s="1">
        <v>46245</v>
      </c>
      <c r="B18" s="2" t="s">
        <v>42</v>
      </c>
      <c r="C18" s="2" t="s">
        <v>14</v>
      </c>
      <c r="D18" s="2" t="s">
        <v>15</v>
      </c>
      <c r="E18" s="2" t="s">
        <v>20</v>
      </c>
      <c r="F18" s="2" t="s">
        <v>23</v>
      </c>
      <c r="G18">
        <v>3996</v>
      </c>
      <c r="H18">
        <v>92</v>
      </c>
      <c r="I18">
        <v>73</v>
      </c>
      <c r="J18">
        <v>4</v>
      </c>
      <c r="K18">
        <v>1</v>
      </c>
      <c r="L18">
        <v>414.02</v>
      </c>
      <c r="M18">
        <v>41371</v>
      </c>
      <c r="N18" s="3">
        <f>IFERROR(MarketingData[[#This Row],[Conversions]]/MarketingData[[#This Row],[Leads]],0)</f>
        <v>0.25</v>
      </c>
      <c r="O18" s="3">
        <f t="shared" si="0"/>
        <v>98.925124390126086</v>
      </c>
      <c r="P18" s="3">
        <f>IFERROR(MarketingData[[#This Row],[Clicks]]/MarketingData[[#This Row],[Impressions]],0)</f>
        <v>2.3023023023023025E-2</v>
      </c>
      <c r="Q18" s="3">
        <f>IFERROR(MarketingData[[#This Row],[Spend_INR]]/MarketingData[[#This Row],[Leads]],0)</f>
        <v>103.505</v>
      </c>
    </row>
    <row r="19" spans="1:17" x14ac:dyDescent="0.35">
      <c r="A19" s="1">
        <v>46245</v>
      </c>
      <c r="B19" s="2" t="s">
        <v>43</v>
      </c>
      <c r="C19" s="2" t="s">
        <v>14</v>
      </c>
      <c r="D19" s="2" t="s">
        <v>19</v>
      </c>
      <c r="E19" s="2" t="s">
        <v>34</v>
      </c>
      <c r="F19" s="2" t="s">
        <v>28</v>
      </c>
      <c r="G19">
        <v>2481</v>
      </c>
      <c r="H19">
        <v>87</v>
      </c>
      <c r="I19">
        <v>69</v>
      </c>
      <c r="J19">
        <v>5</v>
      </c>
      <c r="K19">
        <v>3</v>
      </c>
      <c r="L19">
        <v>448.56</v>
      </c>
      <c r="M19">
        <v>86526</v>
      </c>
      <c r="N19" s="3">
        <f>IFERROR(MarketingData[[#This Row],[Conversions]]/MarketingData[[#This Row],[Leads]],0)</f>
        <v>0.6</v>
      </c>
      <c r="O19" s="3">
        <f t="shared" si="0"/>
        <v>191.89727126805778</v>
      </c>
      <c r="P19" s="3">
        <f>IFERROR(MarketingData[[#This Row],[Clicks]]/MarketingData[[#This Row],[Impressions]],0)</f>
        <v>3.5066505441354291E-2</v>
      </c>
      <c r="Q19" s="3">
        <f>IFERROR(MarketingData[[#This Row],[Spend_INR]]/MarketingData[[#This Row],[Leads]],0)</f>
        <v>89.712000000000003</v>
      </c>
    </row>
    <row r="20" spans="1:17" x14ac:dyDescent="0.35">
      <c r="A20" s="1">
        <v>46246</v>
      </c>
      <c r="B20" s="2" t="s">
        <v>44</v>
      </c>
      <c r="C20" s="2" t="s">
        <v>14</v>
      </c>
      <c r="D20" s="2" t="s">
        <v>15</v>
      </c>
      <c r="E20" s="2" t="s">
        <v>27</v>
      </c>
      <c r="F20" s="2" t="s">
        <v>23</v>
      </c>
      <c r="G20">
        <v>4076</v>
      </c>
      <c r="H20">
        <v>119</v>
      </c>
      <c r="I20">
        <v>95</v>
      </c>
      <c r="J20">
        <v>4</v>
      </c>
      <c r="K20">
        <v>1</v>
      </c>
      <c r="L20">
        <v>566.21</v>
      </c>
      <c r="M20">
        <v>39267</v>
      </c>
      <c r="N20" s="3">
        <f>IFERROR(MarketingData[[#This Row],[Conversions]]/MarketingData[[#This Row],[Leads]],0)</f>
        <v>0.25</v>
      </c>
      <c r="O20" s="3">
        <f t="shared" si="0"/>
        <v>68.350594302467286</v>
      </c>
      <c r="P20" s="3">
        <f>IFERROR(MarketingData[[#This Row],[Clicks]]/MarketingData[[#This Row],[Impressions]],0)</f>
        <v>2.9195289499509322E-2</v>
      </c>
      <c r="Q20" s="3">
        <f>IFERROR(MarketingData[[#This Row],[Spend_INR]]/MarketingData[[#This Row],[Leads]],0)</f>
        <v>141.55250000000001</v>
      </c>
    </row>
    <row r="21" spans="1:17" x14ac:dyDescent="0.35">
      <c r="A21" s="1">
        <v>46246</v>
      </c>
      <c r="B21" s="2" t="s">
        <v>45</v>
      </c>
      <c r="C21" s="2" t="s">
        <v>14</v>
      </c>
      <c r="D21" s="2" t="s">
        <v>19</v>
      </c>
      <c r="E21" s="2" t="s">
        <v>25</v>
      </c>
      <c r="F21" s="2" t="s">
        <v>28</v>
      </c>
      <c r="G21">
        <v>2032</v>
      </c>
      <c r="H21">
        <v>100</v>
      </c>
      <c r="I21">
        <v>80</v>
      </c>
      <c r="J21">
        <v>4</v>
      </c>
      <c r="K21">
        <v>1</v>
      </c>
      <c r="L21">
        <v>408.01</v>
      </c>
      <c r="M21">
        <v>29453</v>
      </c>
      <c r="N21" s="3">
        <f>IFERROR(MarketingData[[#This Row],[Conversions]]/MarketingData[[#This Row],[Leads]],0)</f>
        <v>0.25</v>
      </c>
      <c r="O21" s="3">
        <f t="shared" si="0"/>
        <v>71.186956202053878</v>
      </c>
      <c r="P21" s="3">
        <f>IFERROR(MarketingData[[#This Row],[Clicks]]/MarketingData[[#This Row],[Impressions]],0)</f>
        <v>4.9212598425196853E-2</v>
      </c>
      <c r="Q21" s="3">
        <f>IFERROR(MarketingData[[#This Row],[Spend_INR]]/MarketingData[[#This Row],[Leads]],0)</f>
        <v>102.0025</v>
      </c>
    </row>
    <row r="22" spans="1:17" x14ac:dyDescent="0.35">
      <c r="A22" s="1">
        <v>46247</v>
      </c>
      <c r="B22" s="2" t="s">
        <v>46</v>
      </c>
      <c r="C22" s="2" t="s">
        <v>14</v>
      </c>
      <c r="D22" s="2" t="s">
        <v>15</v>
      </c>
      <c r="E22" s="2" t="s">
        <v>25</v>
      </c>
      <c r="F22" s="2" t="s">
        <v>28</v>
      </c>
      <c r="G22">
        <v>3517</v>
      </c>
      <c r="H22">
        <v>119</v>
      </c>
      <c r="I22">
        <v>95</v>
      </c>
      <c r="J22">
        <v>10</v>
      </c>
      <c r="K22">
        <v>4</v>
      </c>
      <c r="L22">
        <v>412.53</v>
      </c>
      <c r="M22">
        <v>168356</v>
      </c>
      <c r="N22" s="3">
        <f>IFERROR(MarketingData[[#This Row],[Conversions]]/MarketingData[[#This Row],[Leads]],0)</f>
        <v>0.4</v>
      </c>
      <c r="O22" s="3">
        <f t="shared" si="0"/>
        <v>407.10607713378425</v>
      </c>
      <c r="P22" s="3">
        <f>IFERROR(MarketingData[[#This Row],[Clicks]]/MarketingData[[#This Row],[Impressions]],0)</f>
        <v>3.3835655388114873E-2</v>
      </c>
      <c r="Q22" s="3">
        <f>IFERROR(MarketingData[[#This Row],[Spend_INR]]/MarketingData[[#This Row],[Leads]],0)</f>
        <v>41.253</v>
      </c>
    </row>
    <row r="23" spans="1:17" x14ac:dyDescent="0.35">
      <c r="A23" s="1">
        <v>46247</v>
      </c>
      <c r="B23" s="2" t="s">
        <v>47</v>
      </c>
      <c r="C23" s="2" t="s">
        <v>14</v>
      </c>
      <c r="D23" s="2" t="s">
        <v>19</v>
      </c>
      <c r="E23" s="2" t="s">
        <v>16</v>
      </c>
      <c r="F23" s="2" t="s">
        <v>17</v>
      </c>
      <c r="G23">
        <v>3672</v>
      </c>
      <c r="H23">
        <v>75</v>
      </c>
      <c r="I23">
        <v>60</v>
      </c>
      <c r="J23">
        <v>3</v>
      </c>
      <c r="K23">
        <v>1</v>
      </c>
      <c r="L23">
        <v>542.19000000000005</v>
      </c>
      <c r="M23">
        <v>65708</v>
      </c>
      <c r="N23" s="3">
        <f>IFERROR(MarketingData[[#This Row],[Conversions]]/MarketingData[[#This Row],[Leads]],0)</f>
        <v>0.33333333333333331</v>
      </c>
      <c r="O23" s="3">
        <f t="shared" si="0"/>
        <v>120.18998874933141</v>
      </c>
      <c r="P23" s="3">
        <f>IFERROR(MarketingData[[#This Row],[Clicks]]/MarketingData[[#This Row],[Impressions]],0)</f>
        <v>2.042483660130719E-2</v>
      </c>
      <c r="Q23" s="3">
        <f>IFERROR(MarketingData[[#This Row],[Spend_INR]]/MarketingData[[#This Row],[Leads]],0)</f>
        <v>180.73000000000002</v>
      </c>
    </row>
    <row r="24" spans="1:17" x14ac:dyDescent="0.35">
      <c r="A24" s="1">
        <v>46248</v>
      </c>
      <c r="B24" s="2" t="s">
        <v>48</v>
      </c>
      <c r="C24" s="2" t="s">
        <v>14</v>
      </c>
      <c r="D24" s="2" t="s">
        <v>15</v>
      </c>
      <c r="E24" s="2" t="s">
        <v>20</v>
      </c>
      <c r="F24" s="2" t="s">
        <v>30</v>
      </c>
      <c r="G24">
        <v>2081</v>
      </c>
      <c r="H24">
        <v>66</v>
      </c>
      <c r="I24">
        <v>52</v>
      </c>
      <c r="J24">
        <v>4</v>
      </c>
      <c r="K24">
        <v>2</v>
      </c>
      <c r="L24">
        <v>480.65</v>
      </c>
      <c r="M24">
        <v>121200</v>
      </c>
      <c r="N24" s="3">
        <f>IFERROR(MarketingData[[#This Row],[Conversions]]/MarketingData[[#This Row],[Leads]],0)</f>
        <v>0.5</v>
      </c>
      <c r="O24" s="3">
        <f t="shared" si="0"/>
        <v>251.15853531675859</v>
      </c>
      <c r="P24" s="3">
        <f>IFERROR(MarketingData[[#This Row],[Clicks]]/MarketingData[[#This Row],[Impressions]],0)</f>
        <v>3.1715521383950021E-2</v>
      </c>
      <c r="Q24" s="3">
        <f>IFERROR(MarketingData[[#This Row],[Spend_INR]]/MarketingData[[#This Row],[Leads]],0)</f>
        <v>120.16249999999999</v>
      </c>
    </row>
    <row r="25" spans="1:17" x14ac:dyDescent="0.35">
      <c r="A25" s="1">
        <v>46248</v>
      </c>
      <c r="B25" s="2" t="s">
        <v>49</v>
      </c>
      <c r="C25" s="2" t="s">
        <v>14</v>
      </c>
      <c r="D25" s="2" t="s">
        <v>19</v>
      </c>
      <c r="E25" s="2" t="s">
        <v>34</v>
      </c>
      <c r="F25" s="2" t="s">
        <v>28</v>
      </c>
      <c r="G25">
        <v>4066</v>
      </c>
      <c r="H25">
        <v>54</v>
      </c>
      <c r="I25">
        <v>43</v>
      </c>
      <c r="J25">
        <v>11</v>
      </c>
      <c r="K25">
        <v>4</v>
      </c>
      <c r="L25">
        <v>384.51</v>
      </c>
      <c r="M25">
        <v>189884</v>
      </c>
      <c r="N25" s="3">
        <f>IFERROR(MarketingData[[#This Row],[Conversions]]/MarketingData[[#This Row],[Leads]],0)</f>
        <v>0.36363636363636365</v>
      </c>
      <c r="O25" s="3">
        <f t="shared" si="0"/>
        <v>492.83371043665966</v>
      </c>
      <c r="P25" s="3">
        <f>IFERROR(MarketingData[[#This Row],[Clicks]]/MarketingData[[#This Row],[Impressions]],0)</f>
        <v>1.3280865715691098E-2</v>
      </c>
      <c r="Q25" s="3">
        <f>IFERROR(MarketingData[[#This Row],[Spend_INR]]/MarketingData[[#This Row],[Leads]],0)</f>
        <v>34.955454545454543</v>
      </c>
    </row>
    <row r="26" spans="1:17" x14ac:dyDescent="0.35">
      <c r="A26" s="1">
        <v>46249</v>
      </c>
      <c r="B26" s="2" t="s">
        <v>50</v>
      </c>
      <c r="C26" s="2" t="s">
        <v>14</v>
      </c>
      <c r="D26" s="2" t="s">
        <v>15</v>
      </c>
      <c r="E26" s="2" t="s">
        <v>16</v>
      </c>
      <c r="F26" s="2" t="s">
        <v>28</v>
      </c>
      <c r="G26">
        <v>2933</v>
      </c>
      <c r="H26">
        <v>40</v>
      </c>
      <c r="I26">
        <v>32</v>
      </c>
      <c r="J26">
        <v>4</v>
      </c>
      <c r="K26">
        <v>2</v>
      </c>
      <c r="L26">
        <v>480.43</v>
      </c>
      <c r="M26">
        <v>84334</v>
      </c>
      <c r="N26" s="3">
        <f>IFERROR(MarketingData[[#This Row],[Conversions]]/MarketingData[[#This Row],[Leads]],0)</f>
        <v>0.5</v>
      </c>
      <c r="O26" s="3">
        <f t="shared" si="0"/>
        <v>174.53858002206357</v>
      </c>
      <c r="P26" s="3">
        <f>IFERROR(MarketingData[[#This Row],[Clicks]]/MarketingData[[#This Row],[Impressions]],0)</f>
        <v>1.3637913399249914E-2</v>
      </c>
      <c r="Q26" s="3">
        <f>IFERROR(MarketingData[[#This Row],[Spend_INR]]/MarketingData[[#This Row],[Leads]],0)</f>
        <v>120.1075</v>
      </c>
    </row>
    <row r="27" spans="1:17" x14ac:dyDescent="0.35">
      <c r="A27" s="1">
        <v>46249</v>
      </c>
      <c r="B27" s="2" t="s">
        <v>51</v>
      </c>
      <c r="C27" s="2" t="s">
        <v>14</v>
      </c>
      <c r="D27" s="2" t="s">
        <v>19</v>
      </c>
      <c r="E27" s="2" t="s">
        <v>16</v>
      </c>
      <c r="F27" s="2" t="s">
        <v>28</v>
      </c>
      <c r="G27">
        <v>4034</v>
      </c>
      <c r="H27">
        <v>39</v>
      </c>
      <c r="I27">
        <v>31</v>
      </c>
      <c r="J27">
        <v>11</v>
      </c>
      <c r="K27">
        <v>5</v>
      </c>
      <c r="L27">
        <v>483.46</v>
      </c>
      <c r="M27">
        <v>265830</v>
      </c>
      <c r="N27" s="3">
        <f>IFERROR(MarketingData[[#This Row],[Conversions]]/MarketingData[[#This Row],[Leads]],0)</f>
        <v>0.45454545454545453</v>
      </c>
      <c r="O27" s="3">
        <f t="shared" si="0"/>
        <v>548.84900508832163</v>
      </c>
      <c r="P27" s="3">
        <f>IFERROR(MarketingData[[#This Row],[Clicks]]/MarketingData[[#This Row],[Impressions]],0)</f>
        <v>9.6678235002478925E-3</v>
      </c>
      <c r="Q27" s="3">
        <f>IFERROR(MarketingData[[#This Row],[Spend_INR]]/MarketingData[[#This Row],[Leads]],0)</f>
        <v>43.950909090909086</v>
      </c>
    </row>
    <row r="28" spans="1:17" x14ac:dyDescent="0.35">
      <c r="A28" s="1">
        <v>46251</v>
      </c>
      <c r="B28" s="2" t="s">
        <v>52</v>
      </c>
      <c r="C28" s="2" t="s">
        <v>14</v>
      </c>
      <c r="D28" s="2" t="s">
        <v>15</v>
      </c>
      <c r="E28" s="2" t="s">
        <v>20</v>
      </c>
      <c r="F28" s="2" t="s">
        <v>28</v>
      </c>
      <c r="G28">
        <v>2221</v>
      </c>
      <c r="H28">
        <v>80</v>
      </c>
      <c r="I28">
        <v>64</v>
      </c>
      <c r="J28">
        <v>8</v>
      </c>
      <c r="K28">
        <v>5</v>
      </c>
      <c r="L28">
        <v>478.01</v>
      </c>
      <c r="M28">
        <v>175640</v>
      </c>
      <c r="N28" s="3">
        <f>IFERROR(MarketingData[[#This Row],[Conversions]]/MarketingData[[#This Row],[Leads]],0)</f>
        <v>0.625</v>
      </c>
      <c r="O28" s="3">
        <f t="shared" si="0"/>
        <v>366.4400117152361</v>
      </c>
      <c r="P28" s="3">
        <f>IFERROR(MarketingData[[#This Row],[Clicks]]/MarketingData[[#This Row],[Impressions]],0)</f>
        <v>3.6019810895992793E-2</v>
      </c>
      <c r="Q28" s="3">
        <f>IFERROR(MarketingData[[#This Row],[Spend_INR]]/MarketingData[[#This Row],[Leads]],0)</f>
        <v>59.751249999999999</v>
      </c>
    </row>
    <row r="29" spans="1:17" x14ac:dyDescent="0.35">
      <c r="A29" s="1">
        <v>46251</v>
      </c>
      <c r="B29" s="2" t="s">
        <v>53</v>
      </c>
      <c r="C29" s="2" t="s">
        <v>14</v>
      </c>
      <c r="D29" s="2" t="s">
        <v>19</v>
      </c>
      <c r="E29" s="2" t="s">
        <v>16</v>
      </c>
      <c r="F29" s="2" t="s">
        <v>21</v>
      </c>
      <c r="G29">
        <v>3486</v>
      </c>
      <c r="H29">
        <v>120</v>
      </c>
      <c r="I29">
        <v>96</v>
      </c>
      <c r="J29">
        <v>5</v>
      </c>
      <c r="K29">
        <v>2</v>
      </c>
      <c r="L29">
        <v>535.04999999999995</v>
      </c>
      <c r="M29">
        <v>64168</v>
      </c>
      <c r="N29" s="3">
        <f>IFERROR(MarketingData[[#This Row],[Conversions]]/MarketingData[[#This Row],[Leads]],0)</f>
        <v>0.4</v>
      </c>
      <c r="O29" s="3">
        <f t="shared" si="0"/>
        <v>118.92897860013083</v>
      </c>
      <c r="P29" s="3">
        <f>IFERROR(MarketingData[[#This Row],[Clicks]]/MarketingData[[#This Row],[Impressions]],0)</f>
        <v>3.4423407917383818E-2</v>
      </c>
      <c r="Q29" s="3">
        <f>IFERROR(MarketingData[[#This Row],[Spend_INR]]/MarketingData[[#This Row],[Leads]],0)</f>
        <v>107.00999999999999</v>
      </c>
    </row>
    <row r="30" spans="1:17" x14ac:dyDescent="0.35">
      <c r="A30" s="1">
        <v>46252</v>
      </c>
      <c r="B30" s="2" t="s">
        <v>54</v>
      </c>
      <c r="C30" s="2" t="s">
        <v>14</v>
      </c>
      <c r="D30" s="2" t="s">
        <v>15</v>
      </c>
      <c r="E30" s="2" t="s">
        <v>27</v>
      </c>
      <c r="F30" s="2" t="s">
        <v>23</v>
      </c>
      <c r="G30">
        <v>2732</v>
      </c>
      <c r="H30">
        <v>63</v>
      </c>
      <c r="I30">
        <v>50</v>
      </c>
      <c r="J30">
        <v>5</v>
      </c>
      <c r="K30">
        <v>2</v>
      </c>
      <c r="L30">
        <v>442.6</v>
      </c>
      <c r="M30">
        <v>86516</v>
      </c>
      <c r="N30" s="3">
        <f>IFERROR(MarketingData[[#This Row],[Conversions]]/MarketingData[[#This Row],[Leads]],0)</f>
        <v>0.4</v>
      </c>
      <c r="O30" s="3">
        <f t="shared" si="0"/>
        <v>194.47220967013101</v>
      </c>
      <c r="P30" s="3">
        <f>IFERROR(MarketingData[[#This Row],[Clicks]]/MarketingData[[#This Row],[Impressions]],0)</f>
        <v>2.3060029282576867E-2</v>
      </c>
      <c r="Q30" s="3">
        <f>IFERROR(MarketingData[[#This Row],[Spend_INR]]/MarketingData[[#This Row],[Leads]],0)</f>
        <v>88.52000000000001</v>
      </c>
    </row>
    <row r="31" spans="1:17" x14ac:dyDescent="0.35">
      <c r="A31" s="1">
        <v>46252</v>
      </c>
      <c r="B31" s="2" t="s">
        <v>55</v>
      </c>
      <c r="C31" s="2" t="s">
        <v>14</v>
      </c>
      <c r="D31" s="2" t="s">
        <v>19</v>
      </c>
      <c r="E31" s="2" t="s">
        <v>34</v>
      </c>
      <c r="F31" s="2" t="s">
        <v>21</v>
      </c>
      <c r="G31">
        <v>2869</v>
      </c>
      <c r="H31">
        <v>57</v>
      </c>
      <c r="I31">
        <v>45</v>
      </c>
      <c r="J31">
        <v>6</v>
      </c>
      <c r="K31">
        <v>2</v>
      </c>
      <c r="L31">
        <v>412.25</v>
      </c>
      <c r="M31">
        <v>128192</v>
      </c>
      <c r="N31" s="3">
        <f>IFERROR(MarketingData[[#This Row],[Conversions]]/MarketingData[[#This Row],[Leads]],0)</f>
        <v>0.33333333333333331</v>
      </c>
      <c r="O31" s="3">
        <f t="shared" si="0"/>
        <v>309.95694360218312</v>
      </c>
      <c r="P31" s="3">
        <f>IFERROR(MarketingData[[#This Row],[Clicks]]/MarketingData[[#This Row],[Impressions]],0)</f>
        <v>1.9867549668874173E-2</v>
      </c>
      <c r="Q31" s="3">
        <f>IFERROR(MarketingData[[#This Row],[Spend_INR]]/MarketingData[[#This Row],[Leads]],0)</f>
        <v>68.708333333333329</v>
      </c>
    </row>
    <row r="32" spans="1:17" x14ac:dyDescent="0.35">
      <c r="A32" s="1">
        <v>46253</v>
      </c>
      <c r="B32" s="2" t="s">
        <v>56</v>
      </c>
      <c r="C32" s="2" t="s">
        <v>14</v>
      </c>
      <c r="D32" s="2" t="s">
        <v>15</v>
      </c>
      <c r="E32" s="2" t="s">
        <v>57</v>
      </c>
      <c r="F32" s="2" t="s">
        <v>28</v>
      </c>
      <c r="G32">
        <v>2843</v>
      </c>
      <c r="H32">
        <v>40</v>
      </c>
      <c r="I32">
        <v>32</v>
      </c>
      <c r="J32">
        <v>2</v>
      </c>
      <c r="K32">
        <v>1</v>
      </c>
      <c r="L32">
        <v>470.88</v>
      </c>
      <c r="M32">
        <v>60287</v>
      </c>
      <c r="N32" s="3">
        <f>IFERROR(MarketingData[[#This Row],[Conversions]]/MarketingData[[#This Row],[Leads]],0)</f>
        <v>0.5</v>
      </c>
      <c r="O32" s="3">
        <f t="shared" si="0"/>
        <v>127.03049609242271</v>
      </c>
      <c r="P32" s="3">
        <f>IFERROR(MarketingData[[#This Row],[Clicks]]/MarketingData[[#This Row],[Impressions]],0)</f>
        <v>1.4069644741470278E-2</v>
      </c>
      <c r="Q32" s="3">
        <f>IFERROR(MarketingData[[#This Row],[Spend_INR]]/MarketingData[[#This Row],[Leads]],0)</f>
        <v>235.44</v>
      </c>
    </row>
    <row r="33" spans="1:17" x14ac:dyDescent="0.35">
      <c r="A33" s="1">
        <v>46253</v>
      </c>
      <c r="B33" s="2" t="s">
        <v>58</v>
      </c>
      <c r="C33" s="2" t="s">
        <v>14</v>
      </c>
      <c r="D33" s="2" t="s">
        <v>19</v>
      </c>
      <c r="E33" s="2" t="s">
        <v>25</v>
      </c>
      <c r="F33" s="2" t="s">
        <v>30</v>
      </c>
      <c r="G33">
        <v>2310</v>
      </c>
      <c r="H33">
        <v>73</v>
      </c>
      <c r="I33">
        <v>58</v>
      </c>
      <c r="J33">
        <v>12</v>
      </c>
      <c r="K33">
        <v>5</v>
      </c>
      <c r="L33">
        <v>495.78</v>
      </c>
      <c r="M33">
        <v>256855</v>
      </c>
      <c r="N33" s="3">
        <f>IFERROR(MarketingData[[#This Row],[Conversions]]/MarketingData[[#This Row],[Leads]],0)</f>
        <v>0.41666666666666669</v>
      </c>
      <c r="O33" s="3">
        <f t="shared" si="0"/>
        <v>517.08261728992704</v>
      </c>
      <c r="P33" s="3">
        <f>IFERROR(MarketingData[[#This Row],[Clicks]]/MarketingData[[#This Row],[Impressions]],0)</f>
        <v>3.1601731601731603E-2</v>
      </c>
      <c r="Q33" s="3">
        <f>IFERROR(MarketingData[[#This Row],[Spend_INR]]/MarketingData[[#This Row],[Leads]],0)</f>
        <v>41.314999999999998</v>
      </c>
    </row>
    <row r="34" spans="1:17" x14ac:dyDescent="0.35">
      <c r="A34" s="1">
        <v>46254</v>
      </c>
      <c r="B34" s="2" t="s">
        <v>59</v>
      </c>
      <c r="C34" s="2" t="s">
        <v>14</v>
      </c>
      <c r="D34" s="2" t="s">
        <v>15</v>
      </c>
      <c r="E34" s="2" t="s">
        <v>16</v>
      </c>
      <c r="F34" s="2" t="s">
        <v>30</v>
      </c>
      <c r="G34">
        <v>4321</v>
      </c>
      <c r="H34">
        <v>107</v>
      </c>
      <c r="I34">
        <v>85</v>
      </c>
      <c r="J34">
        <v>10</v>
      </c>
      <c r="K34">
        <v>5</v>
      </c>
      <c r="L34">
        <v>430.09</v>
      </c>
      <c r="M34">
        <v>224570</v>
      </c>
      <c r="N34" s="3">
        <f>IFERROR(MarketingData[[#This Row],[Conversions]]/MarketingData[[#This Row],[Leads]],0)</f>
        <v>0.5</v>
      </c>
      <c r="O34" s="3">
        <f t="shared" si="0"/>
        <v>521.14652747099444</v>
      </c>
      <c r="P34" s="3">
        <f>IFERROR(MarketingData[[#This Row],[Clicks]]/MarketingData[[#This Row],[Impressions]],0)</f>
        <v>2.4762786392038879E-2</v>
      </c>
      <c r="Q34" s="3">
        <f>IFERROR(MarketingData[[#This Row],[Spend_INR]]/MarketingData[[#This Row],[Leads]],0)</f>
        <v>43.009</v>
      </c>
    </row>
    <row r="35" spans="1:17" x14ac:dyDescent="0.35">
      <c r="A35" s="1">
        <v>46254</v>
      </c>
      <c r="B35" s="2" t="s">
        <v>60</v>
      </c>
      <c r="C35" s="2" t="s">
        <v>14</v>
      </c>
      <c r="D35" s="2" t="s">
        <v>19</v>
      </c>
      <c r="E35" s="2" t="s">
        <v>57</v>
      </c>
      <c r="F35" s="2" t="s">
        <v>17</v>
      </c>
      <c r="G35">
        <v>3893</v>
      </c>
      <c r="H35">
        <v>95</v>
      </c>
      <c r="I35">
        <v>76</v>
      </c>
      <c r="J35">
        <v>4</v>
      </c>
      <c r="K35">
        <v>2</v>
      </c>
      <c r="L35">
        <v>479.37</v>
      </c>
      <c r="M35">
        <v>87196</v>
      </c>
      <c r="N35" s="3">
        <f>IFERROR(MarketingData[[#This Row],[Conversions]]/MarketingData[[#This Row],[Leads]],0)</f>
        <v>0.5</v>
      </c>
      <c r="O35" s="3">
        <f t="shared" si="0"/>
        <v>180.89707324196343</v>
      </c>
      <c r="P35" s="3">
        <f>IFERROR(MarketingData[[#This Row],[Clicks]]/MarketingData[[#This Row],[Impressions]],0)</f>
        <v>2.4402774210120728E-2</v>
      </c>
      <c r="Q35" s="3">
        <f>IFERROR(MarketingData[[#This Row],[Spend_INR]]/MarketingData[[#This Row],[Leads]],0)</f>
        <v>119.8425</v>
      </c>
    </row>
    <row r="36" spans="1:17" x14ac:dyDescent="0.35">
      <c r="A36" s="1">
        <v>46255</v>
      </c>
      <c r="B36" s="2" t="s">
        <v>61</v>
      </c>
      <c r="C36" s="2" t="s">
        <v>14</v>
      </c>
      <c r="D36" s="2" t="s">
        <v>15</v>
      </c>
      <c r="E36" s="2" t="s">
        <v>20</v>
      </c>
      <c r="F36" s="2" t="s">
        <v>21</v>
      </c>
      <c r="G36">
        <v>2403</v>
      </c>
      <c r="H36">
        <v>38</v>
      </c>
      <c r="I36">
        <v>30</v>
      </c>
      <c r="J36">
        <v>9</v>
      </c>
      <c r="K36">
        <v>4</v>
      </c>
      <c r="L36">
        <v>404.62</v>
      </c>
      <c r="M36">
        <v>119088</v>
      </c>
      <c r="N36" s="3">
        <f>IFERROR(MarketingData[[#This Row],[Conversions]]/MarketingData[[#This Row],[Leads]],0)</f>
        <v>0.44444444444444442</v>
      </c>
      <c r="O36" s="3">
        <f t="shared" si="0"/>
        <v>293.3205971034551</v>
      </c>
      <c r="P36" s="3">
        <f>IFERROR(MarketingData[[#This Row],[Clicks]]/MarketingData[[#This Row],[Impressions]],0)</f>
        <v>1.581356637536413E-2</v>
      </c>
      <c r="Q36" s="3">
        <f>IFERROR(MarketingData[[#This Row],[Spend_INR]]/MarketingData[[#This Row],[Leads]],0)</f>
        <v>44.957777777777778</v>
      </c>
    </row>
    <row r="37" spans="1:17" x14ac:dyDescent="0.35">
      <c r="A37" s="1">
        <v>46255</v>
      </c>
      <c r="B37" s="2" t="s">
        <v>62</v>
      </c>
      <c r="C37" s="2" t="s">
        <v>14</v>
      </c>
      <c r="D37" s="2" t="s">
        <v>19</v>
      </c>
      <c r="E37" s="2" t="s">
        <v>20</v>
      </c>
      <c r="F37" s="2" t="s">
        <v>28</v>
      </c>
      <c r="G37">
        <v>4487</v>
      </c>
      <c r="H37">
        <v>35</v>
      </c>
      <c r="I37">
        <v>28</v>
      </c>
      <c r="J37">
        <v>3</v>
      </c>
      <c r="K37">
        <v>2</v>
      </c>
      <c r="L37">
        <v>489.27</v>
      </c>
      <c r="M37">
        <v>78682</v>
      </c>
      <c r="N37" s="3">
        <f>IFERROR(MarketingData[[#This Row],[Conversions]]/MarketingData[[#This Row],[Leads]],0)</f>
        <v>0.66666666666666663</v>
      </c>
      <c r="O37" s="3">
        <f t="shared" si="0"/>
        <v>159.81509187156377</v>
      </c>
      <c r="P37" s="3">
        <f>IFERROR(MarketingData[[#This Row],[Clicks]]/MarketingData[[#This Row],[Impressions]],0)</f>
        <v>7.8003120124804995E-3</v>
      </c>
      <c r="Q37" s="3">
        <f>IFERROR(MarketingData[[#This Row],[Spend_INR]]/MarketingData[[#This Row],[Leads]],0)</f>
        <v>163.09</v>
      </c>
    </row>
    <row r="38" spans="1:17" x14ac:dyDescent="0.35">
      <c r="A38" s="1">
        <v>46256</v>
      </c>
      <c r="B38" s="2" t="s">
        <v>63</v>
      </c>
      <c r="C38" s="2" t="s">
        <v>14</v>
      </c>
      <c r="D38" s="2" t="s">
        <v>15</v>
      </c>
      <c r="E38" s="2" t="s">
        <v>20</v>
      </c>
      <c r="F38" s="2" t="s">
        <v>21</v>
      </c>
      <c r="G38">
        <v>3975</v>
      </c>
      <c r="H38">
        <v>106</v>
      </c>
      <c r="I38">
        <v>84</v>
      </c>
      <c r="J38">
        <v>9</v>
      </c>
      <c r="K38">
        <v>4</v>
      </c>
      <c r="L38">
        <v>551.45000000000005</v>
      </c>
      <c r="M38">
        <v>232324</v>
      </c>
      <c r="N38" s="3">
        <f>IFERROR(MarketingData[[#This Row],[Conversions]]/MarketingData[[#This Row],[Leads]],0)</f>
        <v>0.44444444444444442</v>
      </c>
      <c r="O38" s="3">
        <f t="shared" si="0"/>
        <v>420.29658173905153</v>
      </c>
      <c r="P38" s="3">
        <f>IFERROR(MarketingData[[#This Row],[Clicks]]/MarketingData[[#This Row],[Impressions]],0)</f>
        <v>2.6666666666666668E-2</v>
      </c>
      <c r="Q38" s="3">
        <f>IFERROR(MarketingData[[#This Row],[Spend_INR]]/MarketingData[[#This Row],[Leads]],0)</f>
        <v>61.272222222222226</v>
      </c>
    </row>
    <row r="39" spans="1:17" x14ac:dyDescent="0.35">
      <c r="A39" s="1">
        <v>46256</v>
      </c>
      <c r="B39" s="2" t="s">
        <v>64</v>
      </c>
      <c r="C39" s="2" t="s">
        <v>14</v>
      </c>
      <c r="D39" s="2" t="s">
        <v>19</v>
      </c>
      <c r="E39" s="2" t="s">
        <v>20</v>
      </c>
      <c r="F39" s="2" t="s">
        <v>28</v>
      </c>
      <c r="G39">
        <v>3935</v>
      </c>
      <c r="H39">
        <v>97</v>
      </c>
      <c r="I39">
        <v>77</v>
      </c>
      <c r="J39">
        <v>6</v>
      </c>
      <c r="K39">
        <v>2</v>
      </c>
      <c r="L39">
        <v>508.94</v>
      </c>
      <c r="M39">
        <v>87450</v>
      </c>
      <c r="N39" s="3">
        <f>IFERROR(MarketingData[[#This Row],[Conversions]]/MarketingData[[#This Row],[Leads]],0)</f>
        <v>0.33333333333333331</v>
      </c>
      <c r="O39" s="3">
        <f t="shared" si="0"/>
        <v>170.82772035996385</v>
      </c>
      <c r="P39" s="3">
        <f>IFERROR(MarketingData[[#This Row],[Clicks]]/MarketingData[[#This Row],[Impressions]],0)</f>
        <v>2.4650571791613722E-2</v>
      </c>
      <c r="Q39" s="3">
        <f>IFERROR(MarketingData[[#This Row],[Spend_INR]]/MarketingData[[#This Row],[Leads]],0)</f>
        <v>84.823333333333338</v>
      </c>
    </row>
    <row r="40" spans="1:17" x14ac:dyDescent="0.35">
      <c r="A40" s="1">
        <v>46258</v>
      </c>
      <c r="B40" s="2" t="s">
        <v>65</v>
      </c>
      <c r="C40" s="2" t="s">
        <v>14</v>
      </c>
      <c r="D40" s="2" t="s">
        <v>15</v>
      </c>
      <c r="E40" s="2" t="s">
        <v>20</v>
      </c>
      <c r="F40" s="2" t="s">
        <v>30</v>
      </c>
      <c r="G40">
        <v>2747</v>
      </c>
      <c r="H40">
        <v>84</v>
      </c>
      <c r="I40">
        <v>67</v>
      </c>
      <c r="J40">
        <v>5</v>
      </c>
      <c r="K40">
        <v>1</v>
      </c>
      <c r="L40">
        <v>469.39</v>
      </c>
      <c r="M40">
        <v>51712</v>
      </c>
      <c r="N40" s="3">
        <f>IFERROR(MarketingData[[#This Row],[Conversions]]/MarketingData[[#This Row],[Leads]],0)</f>
        <v>0.2</v>
      </c>
      <c r="O40" s="3">
        <f t="shared" si="0"/>
        <v>109.16851658535546</v>
      </c>
      <c r="P40" s="3">
        <f>IFERROR(MarketingData[[#This Row],[Clicks]]/MarketingData[[#This Row],[Impressions]],0)</f>
        <v>3.0578813250819074E-2</v>
      </c>
      <c r="Q40" s="3">
        <f>IFERROR(MarketingData[[#This Row],[Spend_INR]]/MarketingData[[#This Row],[Leads]],0)</f>
        <v>93.878</v>
      </c>
    </row>
    <row r="41" spans="1:17" x14ac:dyDescent="0.35">
      <c r="A41" s="1">
        <v>46258</v>
      </c>
      <c r="B41" s="2" t="s">
        <v>66</v>
      </c>
      <c r="C41" s="2" t="s">
        <v>14</v>
      </c>
      <c r="D41" s="2" t="s">
        <v>19</v>
      </c>
      <c r="E41" s="2" t="s">
        <v>57</v>
      </c>
      <c r="F41" s="2" t="s">
        <v>21</v>
      </c>
      <c r="G41">
        <v>4158</v>
      </c>
      <c r="H41">
        <v>83</v>
      </c>
      <c r="I41">
        <v>66</v>
      </c>
      <c r="J41">
        <v>7</v>
      </c>
      <c r="K41">
        <v>2</v>
      </c>
      <c r="L41">
        <v>402.93</v>
      </c>
      <c r="M41">
        <v>101116</v>
      </c>
      <c r="N41" s="3">
        <f>IFERROR(MarketingData[[#This Row],[Conversions]]/MarketingData[[#This Row],[Leads]],0)</f>
        <v>0.2857142857142857</v>
      </c>
      <c r="O41" s="3">
        <f t="shared" si="0"/>
        <v>249.95177822450552</v>
      </c>
      <c r="P41" s="3">
        <f>IFERROR(MarketingData[[#This Row],[Clicks]]/MarketingData[[#This Row],[Impressions]],0)</f>
        <v>1.9961519961519961E-2</v>
      </c>
      <c r="Q41" s="3">
        <f>IFERROR(MarketingData[[#This Row],[Spend_INR]]/MarketingData[[#This Row],[Leads]],0)</f>
        <v>57.561428571428571</v>
      </c>
    </row>
    <row r="42" spans="1:17" x14ac:dyDescent="0.35">
      <c r="A42" s="1">
        <v>46259</v>
      </c>
      <c r="B42" s="2" t="s">
        <v>67</v>
      </c>
      <c r="C42" s="2" t="s">
        <v>14</v>
      </c>
      <c r="D42" s="2" t="s">
        <v>15</v>
      </c>
      <c r="E42" s="2" t="s">
        <v>57</v>
      </c>
      <c r="F42" s="2" t="s">
        <v>28</v>
      </c>
      <c r="G42">
        <v>3392</v>
      </c>
      <c r="H42">
        <v>78</v>
      </c>
      <c r="I42">
        <v>62</v>
      </c>
      <c r="J42">
        <v>8</v>
      </c>
      <c r="K42">
        <v>4</v>
      </c>
      <c r="L42">
        <v>420.2</v>
      </c>
      <c r="M42">
        <v>222520</v>
      </c>
      <c r="N42" s="3">
        <f>IFERROR(MarketingData[[#This Row],[Conversions]]/MarketingData[[#This Row],[Leads]],0)</f>
        <v>0.5</v>
      </c>
      <c r="O42" s="3">
        <f t="shared" si="0"/>
        <v>528.55735364112331</v>
      </c>
      <c r="P42" s="3">
        <f>IFERROR(MarketingData[[#This Row],[Clicks]]/MarketingData[[#This Row],[Impressions]],0)</f>
        <v>2.2995283018867923E-2</v>
      </c>
      <c r="Q42" s="3">
        <f>IFERROR(MarketingData[[#This Row],[Spend_INR]]/MarketingData[[#This Row],[Leads]],0)</f>
        <v>52.524999999999999</v>
      </c>
    </row>
    <row r="43" spans="1:17" x14ac:dyDescent="0.35">
      <c r="A43" s="1">
        <v>46259</v>
      </c>
      <c r="B43" s="2" t="s">
        <v>68</v>
      </c>
      <c r="C43" s="2" t="s">
        <v>14</v>
      </c>
      <c r="D43" s="2" t="s">
        <v>19</v>
      </c>
      <c r="E43" s="2" t="s">
        <v>20</v>
      </c>
      <c r="F43" s="2" t="s">
        <v>30</v>
      </c>
      <c r="G43">
        <v>2544</v>
      </c>
      <c r="H43">
        <v>41</v>
      </c>
      <c r="I43">
        <v>32</v>
      </c>
      <c r="J43">
        <v>7</v>
      </c>
      <c r="K43">
        <v>2</v>
      </c>
      <c r="L43">
        <v>511.22</v>
      </c>
      <c r="M43">
        <v>92840</v>
      </c>
      <c r="N43" s="3">
        <f>IFERROR(MarketingData[[#This Row],[Conversions]]/MarketingData[[#This Row],[Leads]],0)</f>
        <v>0.2857142857142857</v>
      </c>
      <c r="O43" s="3">
        <f t="shared" si="0"/>
        <v>180.60478854504908</v>
      </c>
      <c r="P43" s="3">
        <f>IFERROR(MarketingData[[#This Row],[Clicks]]/MarketingData[[#This Row],[Impressions]],0)</f>
        <v>1.6116352201257862E-2</v>
      </c>
      <c r="Q43" s="3">
        <f>IFERROR(MarketingData[[#This Row],[Spend_INR]]/MarketingData[[#This Row],[Leads]],0)</f>
        <v>73.031428571428577</v>
      </c>
    </row>
    <row r="44" spans="1:17" x14ac:dyDescent="0.35">
      <c r="A44" s="1">
        <v>46260</v>
      </c>
      <c r="B44" s="2" t="s">
        <v>69</v>
      </c>
      <c r="C44" s="2" t="s">
        <v>14</v>
      </c>
      <c r="D44" s="2" t="s">
        <v>15</v>
      </c>
      <c r="E44" s="2" t="s">
        <v>57</v>
      </c>
      <c r="F44" s="2" t="s">
        <v>23</v>
      </c>
      <c r="G44">
        <v>4009</v>
      </c>
      <c r="H44">
        <v>41</v>
      </c>
      <c r="I44">
        <v>32</v>
      </c>
      <c r="J44">
        <v>7</v>
      </c>
      <c r="K44">
        <v>2</v>
      </c>
      <c r="L44">
        <v>449.99</v>
      </c>
      <c r="M44">
        <v>58992</v>
      </c>
      <c r="N44" s="3">
        <f>IFERROR(MarketingData[[#This Row],[Conversions]]/MarketingData[[#This Row],[Leads]],0)</f>
        <v>0.2857142857142857</v>
      </c>
      <c r="O44" s="3">
        <f t="shared" si="0"/>
        <v>130.0962465832574</v>
      </c>
      <c r="P44" s="3">
        <f>IFERROR(MarketingData[[#This Row],[Clicks]]/MarketingData[[#This Row],[Impressions]],0)</f>
        <v>1.0226989274133201E-2</v>
      </c>
      <c r="Q44" s="3">
        <f>IFERROR(MarketingData[[#This Row],[Spend_INR]]/MarketingData[[#This Row],[Leads]],0)</f>
        <v>64.284285714285716</v>
      </c>
    </row>
    <row r="45" spans="1:17" x14ac:dyDescent="0.35">
      <c r="A45" s="1">
        <v>46260</v>
      </c>
      <c r="B45" s="2" t="s">
        <v>70</v>
      </c>
      <c r="C45" s="2" t="s">
        <v>14</v>
      </c>
      <c r="D45" s="2" t="s">
        <v>19</v>
      </c>
      <c r="E45" s="2" t="s">
        <v>20</v>
      </c>
      <c r="F45" s="2" t="s">
        <v>30</v>
      </c>
      <c r="G45">
        <v>3739</v>
      </c>
      <c r="H45">
        <v>120</v>
      </c>
      <c r="I45">
        <v>96</v>
      </c>
      <c r="J45">
        <v>5</v>
      </c>
      <c r="K45">
        <v>2</v>
      </c>
      <c r="L45">
        <v>411.44</v>
      </c>
      <c r="M45">
        <v>83586</v>
      </c>
      <c r="N45" s="3">
        <f>IFERROR(MarketingData[[#This Row],[Conversions]]/MarketingData[[#This Row],[Leads]],0)</f>
        <v>0.4</v>
      </c>
      <c r="O45" s="3">
        <f t="shared" si="0"/>
        <v>202.15477347851447</v>
      </c>
      <c r="P45" s="3">
        <f>IFERROR(MarketingData[[#This Row],[Clicks]]/MarketingData[[#This Row],[Impressions]],0)</f>
        <v>3.2094142818935543E-2</v>
      </c>
      <c r="Q45" s="3">
        <f>IFERROR(MarketingData[[#This Row],[Spend_INR]]/MarketingData[[#This Row],[Leads]],0)</f>
        <v>82.287999999999997</v>
      </c>
    </row>
    <row r="46" spans="1:17" x14ac:dyDescent="0.35">
      <c r="A46" s="1">
        <v>46261</v>
      </c>
      <c r="B46" s="2" t="s">
        <v>71</v>
      </c>
      <c r="C46" s="2" t="s">
        <v>14</v>
      </c>
      <c r="D46" s="2" t="s">
        <v>15</v>
      </c>
      <c r="E46" s="2" t="s">
        <v>25</v>
      </c>
      <c r="F46" s="2" t="s">
        <v>23</v>
      </c>
      <c r="G46">
        <v>3077</v>
      </c>
      <c r="H46">
        <v>108</v>
      </c>
      <c r="I46">
        <v>86</v>
      </c>
      <c r="J46">
        <v>8</v>
      </c>
      <c r="K46">
        <v>3</v>
      </c>
      <c r="L46">
        <v>420.96</v>
      </c>
      <c r="M46">
        <v>113991</v>
      </c>
      <c r="N46" s="3">
        <f>IFERROR(MarketingData[[#This Row],[Conversions]]/MarketingData[[#This Row],[Leads]],0)</f>
        <v>0.375</v>
      </c>
      <c r="O46" s="3">
        <f t="shared" si="0"/>
        <v>269.78819840364878</v>
      </c>
      <c r="P46" s="3">
        <f>IFERROR(MarketingData[[#This Row],[Clicks]]/MarketingData[[#This Row],[Impressions]],0)</f>
        <v>3.5099122521936948E-2</v>
      </c>
      <c r="Q46" s="3">
        <f>IFERROR(MarketingData[[#This Row],[Spend_INR]]/MarketingData[[#This Row],[Leads]],0)</f>
        <v>52.62</v>
      </c>
    </row>
    <row r="47" spans="1:17" x14ac:dyDescent="0.35">
      <c r="A47" s="1">
        <v>46261</v>
      </c>
      <c r="B47" s="2" t="s">
        <v>72</v>
      </c>
      <c r="C47" s="2" t="s">
        <v>14</v>
      </c>
      <c r="D47" s="2" t="s">
        <v>19</v>
      </c>
      <c r="E47" s="2" t="s">
        <v>25</v>
      </c>
      <c r="F47" s="2" t="s">
        <v>30</v>
      </c>
      <c r="G47">
        <v>3222</v>
      </c>
      <c r="H47">
        <v>103</v>
      </c>
      <c r="I47">
        <v>82</v>
      </c>
      <c r="J47">
        <v>7</v>
      </c>
      <c r="K47">
        <v>2</v>
      </c>
      <c r="L47">
        <v>398.55</v>
      </c>
      <c r="M47">
        <v>134874</v>
      </c>
      <c r="N47" s="3">
        <f>IFERROR(MarketingData[[#This Row],[Conversions]]/MarketingData[[#This Row],[Leads]],0)</f>
        <v>0.2857142857142857</v>
      </c>
      <c r="O47" s="3">
        <f t="shared" si="0"/>
        <v>337.41174256680466</v>
      </c>
      <c r="P47" s="3">
        <f>IFERROR(MarketingData[[#This Row],[Clicks]]/MarketingData[[#This Row],[Impressions]],0)</f>
        <v>3.1967721911855991E-2</v>
      </c>
      <c r="Q47" s="3">
        <f>IFERROR(MarketingData[[#This Row],[Spend_INR]]/MarketingData[[#This Row],[Leads]],0)</f>
        <v>56.93571428571429</v>
      </c>
    </row>
    <row r="48" spans="1:17" x14ac:dyDescent="0.35">
      <c r="A48" s="1">
        <v>46262</v>
      </c>
      <c r="B48" s="2" t="s">
        <v>73</v>
      </c>
      <c r="C48" s="2" t="s">
        <v>14</v>
      </c>
      <c r="D48" s="2" t="s">
        <v>15</v>
      </c>
      <c r="E48" s="2" t="s">
        <v>27</v>
      </c>
      <c r="F48" s="2" t="s">
        <v>17</v>
      </c>
      <c r="G48">
        <v>2426</v>
      </c>
      <c r="H48">
        <v>90</v>
      </c>
      <c r="I48">
        <v>72</v>
      </c>
      <c r="J48">
        <v>10</v>
      </c>
      <c r="K48">
        <v>6</v>
      </c>
      <c r="L48">
        <v>501.14</v>
      </c>
      <c r="M48">
        <v>256200</v>
      </c>
      <c r="N48" s="3">
        <f>IFERROR(MarketingData[[#This Row],[Conversions]]/MarketingData[[#This Row],[Leads]],0)</f>
        <v>0.6</v>
      </c>
      <c r="O48" s="3">
        <f t="shared" si="0"/>
        <v>510.23438560083008</v>
      </c>
      <c r="P48" s="3">
        <f>IFERROR(MarketingData[[#This Row],[Clicks]]/MarketingData[[#This Row],[Impressions]],0)</f>
        <v>3.7098103874690848E-2</v>
      </c>
      <c r="Q48" s="3">
        <f>IFERROR(MarketingData[[#This Row],[Spend_INR]]/MarketingData[[#This Row],[Leads]],0)</f>
        <v>50.113999999999997</v>
      </c>
    </row>
    <row r="49" spans="1:17" x14ac:dyDescent="0.35">
      <c r="A49" s="1">
        <v>46262</v>
      </c>
      <c r="B49" s="2" t="s">
        <v>74</v>
      </c>
      <c r="C49" s="2" t="s">
        <v>14</v>
      </c>
      <c r="D49" s="2" t="s">
        <v>19</v>
      </c>
      <c r="E49" s="2" t="s">
        <v>27</v>
      </c>
      <c r="F49" s="2" t="s">
        <v>17</v>
      </c>
      <c r="G49">
        <v>2154</v>
      </c>
      <c r="H49">
        <v>70</v>
      </c>
      <c r="I49">
        <v>56</v>
      </c>
      <c r="J49">
        <v>5</v>
      </c>
      <c r="K49">
        <v>3</v>
      </c>
      <c r="L49">
        <v>488.16</v>
      </c>
      <c r="M49">
        <v>187035</v>
      </c>
      <c r="N49" s="3">
        <f>IFERROR(MarketingData[[#This Row],[Conversions]]/MarketingData[[#This Row],[Leads]],0)</f>
        <v>0.6</v>
      </c>
      <c r="O49" s="3">
        <f t="shared" si="0"/>
        <v>382.14282202556535</v>
      </c>
      <c r="P49" s="3">
        <f>IFERROR(MarketingData[[#This Row],[Clicks]]/MarketingData[[#This Row],[Impressions]],0)</f>
        <v>3.2497678737233054E-2</v>
      </c>
      <c r="Q49" s="3">
        <f>IFERROR(MarketingData[[#This Row],[Spend_INR]]/MarketingData[[#This Row],[Leads]],0)</f>
        <v>97.632000000000005</v>
      </c>
    </row>
    <row r="50" spans="1:17" x14ac:dyDescent="0.35">
      <c r="A50" s="1">
        <v>46263</v>
      </c>
      <c r="B50" s="2" t="s">
        <v>75</v>
      </c>
      <c r="C50" s="2" t="s">
        <v>14</v>
      </c>
      <c r="D50" s="2" t="s">
        <v>15</v>
      </c>
      <c r="E50" s="2" t="s">
        <v>20</v>
      </c>
      <c r="F50" s="2" t="s">
        <v>30</v>
      </c>
      <c r="G50">
        <v>2668</v>
      </c>
      <c r="H50">
        <v>80</v>
      </c>
      <c r="I50">
        <v>64</v>
      </c>
      <c r="J50">
        <v>7</v>
      </c>
      <c r="K50">
        <v>2</v>
      </c>
      <c r="L50">
        <v>575.74</v>
      </c>
      <c r="M50">
        <v>128138</v>
      </c>
      <c r="N50" s="3">
        <f>IFERROR(MarketingData[[#This Row],[Conversions]]/MarketingData[[#This Row],[Leads]],0)</f>
        <v>0.2857142857142857</v>
      </c>
      <c r="O50" s="3">
        <f t="shared" si="0"/>
        <v>221.56226769027685</v>
      </c>
      <c r="P50" s="3">
        <f>IFERROR(MarketingData[[#This Row],[Clicks]]/MarketingData[[#This Row],[Impressions]],0)</f>
        <v>2.9985007496251874E-2</v>
      </c>
      <c r="Q50" s="3">
        <f>IFERROR(MarketingData[[#This Row],[Spend_INR]]/MarketingData[[#This Row],[Leads]],0)</f>
        <v>82.248571428571424</v>
      </c>
    </row>
    <row r="51" spans="1:17" x14ac:dyDescent="0.35">
      <c r="A51" s="1">
        <v>46263</v>
      </c>
      <c r="B51" s="2" t="s">
        <v>76</v>
      </c>
      <c r="C51" s="2" t="s">
        <v>14</v>
      </c>
      <c r="D51" s="2" t="s">
        <v>19</v>
      </c>
      <c r="E51" s="2" t="s">
        <v>57</v>
      </c>
      <c r="F51" s="2" t="s">
        <v>30</v>
      </c>
      <c r="G51">
        <v>3750</v>
      </c>
      <c r="H51">
        <v>117</v>
      </c>
      <c r="I51">
        <v>93</v>
      </c>
      <c r="J51">
        <v>9</v>
      </c>
      <c r="K51">
        <v>5</v>
      </c>
      <c r="L51">
        <v>471.18</v>
      </c>
      <c r="M51">
        <v>155490</v>
      </c>
      <c r="N51" s="3">
        <f>IFERROR(MarketingData[[#This Row],[Conversions]]/MarketingData[[#This Row],[Leads]],0)</f>
        <v>0.55555555555555558</v>
      </c>
      <c r="O51" s="3">
        <f t="shared" si="0"/>
        <v>329.00127339870113</v>
      </c>
      <c r="P51" s="3">
        <f>IFERROR(MarketingData[[#This Row],[Clicks]]/MarketingData[[#This Row],[Impressions]],0)</f>
        <v>3.1199999999999999E-2</v>
      </c>
      <c r="Q51" s="3">
        <f>IFERROR(MarketingData[[#This Row],[Spend_INR]]/MarketingData[[#This Row],[Leads]],0)</f>
        <v>52.353333333333332</v>
      </c>
    </row>
    <row r="52" spans="1:17" x14ac:dyDescent="0.35">
      <c r="A52" s="1">
        <v>46265</v>
      </c>
      <c r="B52" s="2" t="s">
        <v>77</v>
      </c>
      <c r="C52" s="2" t="s">
        <v>14</v>
      </c>
      <c r="D52" s="2" t="s">
        <v>15</v>
      </c>
      <c r="E52" s="2" t="s">
        <v>57</v>
      </c>
      <c r="F52" s="2" t="s">
        <v>28</v>
      </c>
      <c r="G52">
        <v>3542</v>
      </c>
      <c r="H52">
        <v>105</v>
      </c>
      <c r="I52">
        <v>84</v>
      </c>
      <c r="J52">
        <v>9</v>
      </c>
      <c r="K52">
        <v>3</v>
      </c>
      <c r="L52">
        <v>476.39</v>
      </c>
      <c r="M52">
        <v>124425</v>
      </c>
      <c r="N52" s="3">
        <f>IFERROR(MarketingData[[#This Row],[Conversions]]/MarketingData[[#This Row],[Leads]],0)</f>
        <v>0.33333333333333331</v>
      </c>
      <c r="O52" s="3">
        <f t="shared" si="0"/>
        <v>260.18306429605997</v>
      </c>
      <c r="P52" s="3">
        <f>IFERROR(MarketingData[[#This Row],[Clicks]]/MarketingData[[#This Row],[Impressions]],0)</f>
        <v>2.9644268774703556E-2</v>
      </c>
      <c r="Q52" s="3">
        <f>IFERROR(MarketingData[[#This Row],[Spend_INR]]/MarketingData[[#This Row],[Leads]],0)</f>
        <v>52.932222222222222</v>
      </c>
    </row>
    <row r="53" spans="1:17" x14ac:dyDescent="0.35">
      <c r="A53" s="1">
        <v>46265</v>
      </c>
      <c r="B53" s="2" t="s">
        <v>78</v>
      </c>
      <c r="C53" s="2" t="s">
        <v>14</v>
      </c>
      <c r="D53" s="2" t="s">
        <v>19</v>
      </c>
      <c r="E53" s="2" t="s">
        <v>20</v>
      </c>
      <c r="F53" s="2" t="s">
        <v>28</v>
      </c>
      <c r="G53">
        <v>3783</v>
      </c>
      <c r="H53">
        <v>70</v>
      </c>
      <c r="I53">
        <v>56</v>
      </c>
      <c r="J53">
        <v>10</v>
      </c>
      <c r="K53">
        <v>5</v>
      </c>
      <c r="L53">
        <v>472.46</v>
      </c>
      <c r="M53">
        <v>157940</v>
      </c>
      <c r="N53" s="3">
        <f>IFERROR(MarketingData[[#This Row],[Conversions]]/MarketingData[[#This Row],[Leads]],0)</f>
        <v>0.5</v>
      </c>
      <c r="O53" s="3">
        <f t="shared" si="0"/>
        <v>333.29285018837578</v>
      </c>
      <c r="P53" s="3">
        <f>IFERROR(MarketingData[[#This Row],[Clicks]]/MarketingData[[#This Row],[Impressions]],0)</f>
        <v>1.8503832936822628E-2</v>
      </c>
      <c r="Q53" s="3">
        <f>IFERROR(MarketingData[[#This Row],[Spend_INR]]/MarketingData[[#This Row],[Leads]],0)</f>
        <v>47.245999999999995</v>
      </c>
    </row>
    <row r="54" spans="1:17" x14ac:dyDescent="0.35">
      <c r="A54" s="1">
        <v>46235</v>
      </c>
      <c r="B54" s="2" t="s">
        <v>79</v>
      </c>
      <c r="C54" s="2" t="s">
        <v>80</v>
      </c>
      <c r="D54" s="2" t="s">
        <v>81</v>
      </c>
      <c r="E54" s="2" t="s">
        <v>27</v>
      </c>
      <c r="F54" s="2" t="s">
        <v>28</v>
      </c>
      <c r="G54">
        <v>5557</v>
      </c>
      <c r="I54">
        <v>226</v>
      </c>
      <c r="J54">
        <v>6</v>
      </c>
      <c r="K54">
        <v>2</v>
      </c>
      <c r="L54">
        <v>397.94</v>
      </c>
      <c r="M54">
        <v>122528</v>
      </c>
      <c r="N54" s="3">
        <f>IFERROR(MarketingData[[#This Row],[Conversions]]/MarketingData[[#This Row],[Leads]],0)</f>
        <v>0.33333333333333331</v>
      </c>
      <c r="O54" s="3">
        <f t="shared" si="0"/>
        <v>306.90571442931093</v>
      </c>
      <c r="P54" s="3">
        <f>IFERROR(MarketingData[[#This Row],[Clicks]]/MarketingData[[#This Row],[Impressions]],0)</f>
        <v>0</v>
      </c>
      <c r="Q54" s="3">
        <f>IFERROR(MarketingData[[#This Row],[Spend_INR]]/MarketingData[[#This Row],[Leads]],0)</f>
        <v>66.323333333333338</v>
      </c>
    </row>
    <row r="55" spans="1:17" x14ac:dyDescent="0.35">
      <c r="A55" s="1">
        <v>46235</v>
      </c>
      <c r="B55" s="2" t="s">
        <v>82</v>
      </c>
      <c r="C55" s="2" t="s">
        <v>80</v>
      </c>
      <c r="D55" s="2" t="s">
        <v>83</v>
      </c>
      <c r="E55" s="2" t="s">
        <v>57</v>
      </c>
      <c r="F55" s="2" t="s">
        <v>23</v>
      </c>
      <c r="G55">
        <v>3641</v>
      </c>
      <c r="I55">
        <v>212</v>
      </c>
      <c r="J55">
        <v>11</v>
      </c>
      <c r="K55">
        <v>4</v>
      </c>
      <c r="L55">
        <v>546.20000000000005</v>
      </c>
      <c r="M55">
        <v>166184</v>
      </c>
      <c r="N55" s="3">
        <f>IFERROR(MarketingData[[#This Row],[Conversions]]/MarketingData[[#This Row],[Leads]],0)</f>
        <v>0.36363636363636365</v>
      </c>
      <c r="O55" s="3">
        <f t="shared" si="0"/>
        <v>303.25485170267297</v>
      </c>
      <c r="P55" s="3">
        <f>IFERROR(MarketingData[[#This Row],[Clicks]]/MarketingData[[#This Row],[Impressions]],0)</f>
        <v>0</v>
      </c>
      <c r="Q55" s="3">
        <f>IFERROR(MarketingData[[#This Row],[Spend_INR]]/MarketingData[[#This Row],[Leads]],0)</f>
        <v>49.654545454545456</v>
      </c>
    </row>
    <row r="56" spans="1:17" x14ac:dyDescent="0.35">
      <c r="A56" s="1">
        <v>46237</v>
      </c>
      <c r="B56" s="2" t="s">
        <v>84</v>
      </c>
      <c r="C56" s="2" t="s">
        <v>80</v>
      </c>
      <c r="D56" s="2" t="s">
        <v>85</v>
      </c>
      <c r="E56" s="2" t="s">
        <v>34</v>
      </c>
      <c r="F56" s="2" t="s">
        <v>17</v>
      </c>
      <c r="G56">
        <v>4483</v>
      </c>
      <c r="I56">
        <v>128</v>
      </c>
      <c r="J56">
        <v>16</v>
      </c>
      <c r="K56">
        <v>6</v>
      </c>
      <c r="L56">
        <v>387.35</v>
      </c>
      <c r="M56">
        <v>247590</v>
      </c>
      <c r="N56" s="3">
        <f>IFERROR(MarketingData[[#This Row],[Conversions]]/MarketingData[[#This Row],[Leads]],0)</f>
        <v>0.375</v>
      </c>
      <c r="O56" s="3">
        <f t="shared" si="0"/>
        <v>638.18936362462887</v>
      </c>
      <c r="P56" s="3">
        <f>IFERROR(MarketingData[[#This Row],[Clicks]]/MarketingData[[#This Row],[Impressions]],0)</f>
        <v>0</v>
      </c>
      <c r="Q56" s="3">
        <f>IFERROR(MarketingData[[#This Row],[Spend_INR]]/MarketingData[[#This Row],[Leads]],0)</f>
        <v>24.209375000000001</v>
      </c>
    </row>
    <row r="57" spans="1:17" x14ac:dyDescent="0.35">
      <c r="A57" s="1">
        <v>46237</v>
      </c>
      <c r="B57" s="2" t="s">
        <v>86</v>
      </c>
      <c r="C57" s="2" t="s">
        <v>80</v>
      </c>
      <c r="D57" s="2" t="s">
        <v>81</v>
      </c>
      <c r="E57" s="2" t="s">
        <v>25</v>
      </c>
      <c r="F57" s="2" t="s">
        <v>23</v>
      </c>
      <c r="G57">
        <v>5932</v>
      </c>
      <c r="I57">
        <v>166</v>
      </c>
      <c r="J57">
        <v>17</v>
      </c>
      <c r="K57">
        <v>7</v>
      </c>
      <c r="L57">
        <v>487.17</v>
      </c>
      <c r="M57">
        <v>435855</v>
      </c>
      <c r="N57" s="3">
        <f>IFERROR(MarketingData[[#This Row],[Conversions]]/MarketingData[[#This Row],[Leads]],0)</f>
        <v>0.41176470588235292</v>
      </c>
      <c r="O57" s="3">
        <f t="shared" si="0"/>
        <v>893.66715930783914</v>
      </c>
      <c r="P57" s="3">
        <f>IFERROR(MarketingData[[#This Row],[Clicks]]/MarketingData[[#This Row],[Impressions]],0)</f>
        <v>0</v>
      </c>
      <c r="Q57" s="3">
        <f>IFERROR(MarketingData[[#This Row],[Spend_INR]]/MarketingData[[#This Row],[Leads]],0)</f>
        <v>28.657058823529411</v>
      </c>
    </row>
    <row r="58" spans="1:17" x14ac:dyDescent="0.35">
      <c r="A58" s="1">
        <v>46238</v>
      </c>
      <c r="B58" s="2" t="s">
        <v>87</v>
      </c>
      <c r="C58" s="2" t="s">
        <v>80</v>
      </c>
      <c r="D58" s="2" t="s">
        <v>85</v>
      </c>
      <c r="E58" s="2" t="s">
        <v>20</v>
      </c>
      <c r="F58" s="2" t="s">
        <v>23</v>
      </c>
      <c r="G58">
        <v>3845</v>
      </c>
      <c r="I58">
        <v>259</v>
      </c>
      <c r="J58">
        <v>5</v>
      </c>
      <c r="K58">
        <v>1</v>
      </c>
      <c r="L58">
        <v>417.38</v>
      </c>
      <c r="M58">
        <v>29919</v>
      </c>
      <c r="N58" s="3">
        <f>IFERROR(MarketingData[[#This Row],[Conversions]]/MarketingData[[#This Row],[Leads]],0)</f>
        <v>0.2</v>
      </c>
      <c r="O58" s="3">
        <f t="shared" si="0"/>
        <v>70.682878911303845</v>
      </c>
      <c r="P58" s="3">
        <f>IFERROR(MarketingData[[#This Row],[Clicks]]/MarketingData[[#This Row],[Impressions]],0)</f>
        <v>0</v>
      </c>
      <c r="Q58" s="3">
        <f>IFERROR(MarketingData[[#This Row],[Spend_INR]]/MarketingData[[#This Row],[Leads]],0)</f>
        <v>83.475999999999999</v>
      </c>
    </row>
    <row r="59" spans="1:17" x14ac:dyDescent="0.35">
      <c r="A59" s="1">
        <v>46238</v>
      </c>
      <c r="B59" s="2" t="s">
        <v>88</v>
      </c>
      <c r="C59" s="2" t="s">
        <v>80</v>
      </c>
      <c r="D59" s="2" t="s">
        <v>85</v>
      </c>
      <c r="E59" s="2" t="s">
        <v>25</v>
      </c>
      <c r="F59" s="2" t="s">
        <v>28</v>
      </c>
      <c r="G59">
        <v>2470</v>
      </c>
      <c r="I59">
        <v>206</v>
      </c>
      <c r="J59">
        <v>5</v>
      </c>
      <c r="K59">
        <v>2</v>
      </c>
      <c r="L59">
        <v>492.39</v>
      </c>
      <c r="M59">
        <v>131926</v>
      </c>
      <c r="N59" s="3">
        <f>IFERROR(MarketingData[[#This Row],[Conversions]]/MarketingData[[#This Row],[Leads]],0)</f>
        <v>0.4</v>
      </c>
      <c r="O59" s="3">
        <f t="shared" si="0"/>
        <v>266.92989297101889</v>
      </c>
      <c r="P59" s="3">
        <f>IFERROR(MarketingData[[#This Row],[Clicks]]/MarketingData[[#This Row],[Impressions]],0)</f>
        <v>0</v>
      </c>
      <c r="Q59" s="3">
        <f>IFERROR(MarketingData[[#This Row],[Spend_INR]]/MarketingData[[#This Row],[Leads]],0)</f>
        <v>98.477999999999994</v>
      </c>
    </row>
    <row r="60" spans="1:17" x14ac:dyDescent="0.35">
      <c r="A60" s="1">
        <v>46239</v>
      </c>
      <c r="B60" s="2" t="s">
        <v>89</v>
      </c>
      <c r="C60" s="2" t="s">
        <v>80</v>
      </c>
      <c r="D60" s="2" t="s">
        <v>83</v>
      </c>
      <c r="E60" s="2" t="s">
        <v>27</v>
      </c>
      <c r="F60" s="2" t="s">
        <v>21</v>
      </c>
      <c r="G60">
        <v>3919</v>
      </c>
      <c r="I60">
        <v>105</v>
      </c>
      <c r="J60">
        <v>6</v>
      </c>
      <c r="K60">
        <v>3</v>
      </c>
      <c r="L60">
        <v>367.6</v>
      </c>
      <c r="M60">
        <v>186909</v>
      </c>
      <c r="N60" s="3">
        <f>IFERROR(MarketingData[[#This Row],[Conversions]]/MarketingData[[#This Row],[Leads]],0)</f>
        <v>0.5</v>
      </c>
      <c r="O60" s="3">
        <f t="shared" si="0"/>
        <v>507.45756256800865</v>
      </c>
      <c r="P60" s="3">
        <f>IFERROR(MarketingData[[#This Row],[Clicks]]/MarketingData[[#This Row],[Impressions]],0)</f>
        <v>0</v>
      </c>
      <c r="Q60" s="3">
        <f>IFERROR(MarketingData[[#This Row],[Spend_INR]]/MarketingData[[#This Row],[Leads]],0)</f>
        <v>61.266666666666673</v>
      </c>
    </row>
    <row r="61" spans="1:17" x14ac:dyDescent="0.35">
      <c r="A61" s="1">
        <v>46239</v>
      </c>
      <c r="B61" s="2" t="s">
        <v>90</v>
      </c>
      <c r="C61" s="2" t="s">
        <v>80</v>
      </c>
      <c r="D61" s="2" t="s">
        <v>83</v>
      </c>
      <c r="E61" s="2" t="s">
        <v>25</v>
      </c>
      <c r="F61" s="2" t="s">
        <v>30</v>
      </c>
      <c r="G61">
        <v>2374</v>
      </c>
      <c r="I61">
        <v>110</v>
      </c>
      <c r="J61">
        <v>13</v>
      </c>
      <c r="K61">
        <v>3</v>
      </c>
      <c r="L61">
        <v>487.52</v>
      </c>
      <c r="M61">
        <v>138369</v>
      </c>
      <c r="N61" s="3">
        <f>IFERROR(MarketingData[[#This Row],[Conversions]]/MarketingData[[#This Row],[Leads]],0)</f>
        <v>0.23076923076923078</v>
      </c>
      <c r="O61" s="3">
        <f t="shared" si="0"/>
        <v>282.82220216606504</v>
      </c>
      <c r="P61" s="3">
        <f>IFERROR(MarketingData[[#This Row],[Clicks]]/MarketingData[[#This Row],[Impressions]],0)</f>
        <v>0</v>
      </c>
      <c r="Q61" s="3">
        <f>IFERROR(MarketingData[[#This Row],[Spend_INR]]/MarketingData[[#This Row],[Leads]],0)</f>
        <v>37.501538461538459</v>
      </c>
    </row>
    <row r="62" spans="1:17" x14ac:dyDescent="0.35">
      <c r="A62" s="1">
        <v>46240</v>
      </c>
      <c r="B62" s="2" t="s">
        <v>91</v>
      </c>
      <c r="C62" s="2" t="s">
        <v>80</v>
      </c>
      <c r="D62" s="2" t="s">
        <v>85</v>
      </c>
      <c r="E62" s="2" t="s">
        <v>16</v>
      </c>
      <c r="F62" s="2" t="s">
        <v>21</v>
      </c>
      <c r="G62">
        <v>2743</v>
      </c>
      <c r="I62">
        <v>237</v>
      </c>
      <c r="J62">
        <v>4</v>
      </c>
      <c r="K62">
        <v>2</v>
      </c>
      <c r="L62">
        <v>417.52</v>
      </c>
      <c r="M62">
        <v>118020</v>
      </c>
      <c r="N62" s="3">
        <f>IFERROR(MarketingData[[#This Row],[Conversions]]/MarketingData[[#This Row],[Leads]],0)</f>
        <v>0.5</v>
      </c>
      <c r="O62" s="3">
        <f t="shared" si="0"/>
        <v>281.66909369611039</v>
      </c>
      <c r="P62" s="3">
        <f>IFERROR(MarketingData[[#This Row],[Clicks]]/MarketingData[[#This Row],[Impressions]],0)</f>
        <v>0</v>
      </c>
      <c r="Q62" s="3">
        <f>IFERROR(MarketingData[[#This Row],[Spend_INR]]/MarketingData[[#This Row],[Leads]],0)</f>
        <v>104.38</v>
      </c>
    </row>
    <row r="63" spans="1:17" x14ac:dyDescent="0.35">
      <c r="A63" s="1">
        <v>46240</v>
      </c>
      <c r="B63" s="2" t="s">
        <v>92</v>
      </c>
      <c r="C63" s="2" t="s">
        <v>80</v>
      </c>
      <c r="D63" s="2" t="s">
        <v>81</v>
      </c>
      <c r="E63" s="2" t="s">
        <v>27</v>
      </c>
      <c r="F63" s="2" t="s">
        <v>21</v>
      </c>
      <c r="G63">
        <v>4029</v>
      </c>
      <c r="I63">
        <v>179</v>
      </c>
      <c r="J63">
        <v>10</v>
      </c>
      <c r="K63">
        <v>3</v>
      </c>
      <c r="L63">
        <v>513.71</v>
      </c>
      <c r="M63">
        <v>106617</v>
      </c>
      <c r="N63" s="3">
        <f>IFERROR(MarketingData[[#This Row],[Conversions]]/MarketingData[[#This Row],[Leads]],0)</f>
        <v>0.3</v>
      </c>
      <c r="O63" s="3">
        <f t="shared" si="0"/>
        <v>206.54316637791749</v>
      </c>
      <c r="P63" s="3">
        <f>IFERROR(MarketingData[[#This Row],[Clicks]]/MarketingData[[#This Row],[Impressions]],0)</f>
        <v>0</v>
      </c>
      <c r="Q63" s="3">
        <f>IFERROR(MarketingData[[#This Row],[Spend_INR]]/MarketingData[[#This Row],[Leads]],0)</f>
        <v>51.371000000000002</v>
      </c>
    </row>
    <row r="64" spans="1:17" x14ac:dyDescent="0.35">
      <c r="A64" s="1">
        <v>46241</v>
      </c>
      <c r="B64" s="2" t="s">
        <v>93</v>
      </c>
      <c r="C64" s="2" t="s">
        <v>80</v>
      </c>
      <c r="D64" s="2" t="s">
        <v>81</v>
      </c>
      <c r="E64" s="2" t="s">
        <v>25</v>
      </c>
      <c r="F64" s="2" t="s">
        <v>23</v>
      </c>
      <c r="G64">
        <v>5560</v>
      </c>
      <c r="I64">
        <v>112</v>
      </c>
      <c r="J64">
        <v>9</v>
      </c>
      <c r="K64">
        <v>3</v>
      </c>
      <c r="L64">
        <v>452.75</v>
      </c>
      <c r="M64">
        <v>154464</v>
      </c>
      <c r="N64" s="3">
        <f>IFERROR(MarketingData[[#This Row],[Conversions]]/MarketingData[[#This Row],[Leads]],0)</f>
        <v>0.33333333333333331</v>
      </c>
      <c r="O64" s="3">
        <f t="shared" si="0"/>
        <v>340.16841524019878</v>
      </c>
      <c r="P64" s="3">
        <f>IFERROR(MarketingData[[#This Row],[Clicks]]/MarketingData[[#This Row],[Impressions]],0)</f>
        <v>0</v>
      </c>
      <c r="Q64" s="3">
        <f>IFERROR(MarketingData[[#This Row],[Spend_INR]]/MarketingData[[#This Row],[Leads]],0)</f>
        <v>50.305555555555557</v>
      </c>
    </row>
    <row r="65" spans="1:17" x14ac:dyDescent="0.35">
      <c r="A65" s="1">
        <v>46241</v>
      </c>
      <c r="B65" s="2" t="s">
        <v>94</v>
      </c>
      <c r="C65" s="2" t="s">
        <v>80</v>
      </c>
      <c r="D65" s="2" t="s">
        <v>85</v>
      </c>
      <c r="E65" s="2" t="s">
        <v>20</v>
      </c>
      <c r="F65" s="2" t="s">
        <v>30</v>
      </c>
      <c r="G65">
        <v>5607</v>
      </c>
      <c r="I65">
        <v>250</v>
      </c>
      <c r="J65">
        <v>11</v>
      </c>
      <c r="K65">
        <v>5</v>
      </c>
      <c r="L65">
        <v>462.39</v>
      </c>
      <c r="M65">
        <v>304965</v>
      </c>
      <c r="N65" s="3">
        <f>IFERROR(MarketingData[[#This Row],[Conversions]]/MarketingData[[#This Row],[Leads]],0)</f>
        <v>0.45454545454545453</v>
      </c>
      <c r="O65" s="3">
        <f t="shared" si="0"/>
        <v>658.54064750535258</v>
      </c>
      <c r="P65" s="3">
        <f>IFERROR(MarketingData[[#This Row],[Clicks]]/MarketingData[[#This Row],[Impressions]],0)</f>
        <v>0</v>
      </c>
      <c r="Q65" s="3">
        <f>IFERROR(MarketingData[[#This Row],[Spend_INR]]/MarketingData[[#This Row],[Leads]],0)</f>
        <v>42.035454545454542</v>
      </c>
    </row>
    <row r="66" spans="1:17" x14ac:dyDescent="0.35">
      <c r="A66" s="1">
        <v>46242</v>
      </c>
      <c r="B66" s="2" t="s">
        <v>95</v>
      </c>
      <c r="C66" s="2" t="s">
        <v>80</v>
      </c>
      <c r="D66" s="2" t="s">
        <v>83</v>
      </c>
      <c r="E66" s="2" t="s">
        <v>34</v>
      </c>
      <c r="F66" s="2" t="s">
        <v>21</v>
      </c>
      <c r="G66">
        <v>4653</v>
      </c>
      <c r="I66">
        <v>169</v>
      </c>
      <c r="J66">
        <v>12</v>
      </c>
      <c r="K66">
        <v>2</v>
      </c>
      <c r="L66">
        <v>396.72</v>
      </c>
      <c r="M66">
        <v>79450</v>
      </c>
      <c r="N66" s="3">
        <f>IFERROR(MarketingData[[#This Row],[Conversions]]/MarketingData[[#This Row],[Leads]],0)</f>
        <v>0.16666666666666666</v>
      </c>
      <c r="O66" s="3">
        <f t="shared" ref="O66:O129" si="1">IFERROR((M66-L66)/L66,0)</f>
        <v>199.26719096592052</v>
      </c>
      <c r="P66" s="3">
        <f>IFERROR(MarketingData[[#This Row],[Clicks]]/MarketingData[[#This Row],[Impressions]],0)</f>
        <v>0</v>
      </c>
      <c r="Q66" s="3">
        <f>IFERROR(MarketingData[[#This Row],[Spend_INR]]/MarketingData[[#This Row],[Leads]],0)</f>
        <v>33.06</v>
      </c>
    </row>
    <row r="67" spans="1:17" x14ac:dyDescent="0.35">
      <c r="A67" s="1">
        <v>46242</v>
      </c>
      <c r="B67" s="2" t="s">
        <v>96</v>
      </c>
      <c r="C67" s="2" t="s">
        <v>80</v>
      </c>
      <c r="D67" s="2" t="s">
        <v>85</v>
      </c>
      <c r="E67" s="2" t="s">
        <v>25</v>
      </c>
      <c r="F67" s="2" t="s">
        <v>28</v>
      </c>
      <c r="G67">
        <v>2780</v>
      </c>
      <c r="I67">
        <v>196</v>
      </c>
      <c r="J67">
        <v>17</v>
      </c>
      <c r="K67">
        <v>6</v>
      </c>
      <c r="L67">
        <v>447.22</v>
      </c>
      <c r="M67">
        <v>329610</v>
      </c>
      <c r="N67" s="3">
        <f>IFERROR(MarketingData[[#This Row],[Conversions]]/MarketingData[[#This Row],[Leads]],0)</f>
        <v>0.35294117647058826</v>
      </c>
      <c r="O67" s="3">
        <f t="shared" si="1"/>
        <v>736.01981127856538</v>
      </c>
      <c r="P67" s="3">
        <f>IFERROR(MarketingData[[#This Row],[Clicks]]/MarketingData[[#This Row],[Impressions]],0)</f>
        <v>0</v>
      </c>
      <c r="Q67" s="3">
        <f>IFERROR(MarketingData[[#This Row],[Spend_INR]]/MarketingData[[#This Row],[Leads]],0)</f>
        <v>26.307058823529413</v>
      </c>
    </row>
    <row r="68" spans="1:17" x14ac:dyDescent="0.35">
      <c r="A68" s="1">
        <v>46244</v>
      </c>
      <c r="B68" s="2" t="s">
        <v>97</v>
      </c>
      <c r="C68" s="2" t="s">
        <v>80</v>
      </c>
      <c r="D68" s="2" t="s">
        <v>81</v>
      </c>
      <c r="E68" s="2" t="s">
        <v>25</v>
      </c>
      <c r="F68" s="2" t="s">
        <v>17</v>
      </c>
      <c r="G68">
        <v>4005</v>
      </c>
      <c r="I68">
        <v>219</v>
      </c>
      <c r="J68">
        <v>8</v>
      </c>
      <c r="K68">
        <v>4</v>
      </c>
      <c r="L68">
        <v>428.28</v>
      </c>
      <c r="M68">
        <v>178264</v>
      </c>
      <c r="N68" s="3">
        <f>IFERROR(MarketingData[[#This Row],[Conversions]]/MarketingData[[#This Row],[Leads]],0)</f>
        <v>0.5</v>
      </c>
      <c r="O68" s="3">
        <f t="shared" si="1"/>
        <v>415.23237134584855</v>
      </c>
      <c r="P68" s="3">
        <f>IFERROR(MarketingData[[#This Row],[Clicks]]/MarketingData[[#This Row],[Impressions]],0)</f>
        <v>0</v>
      </c>
      <c r="Q68" s="3">
        <f>IFERROR(MarketingData[[#This Row],[Spend_INR]]/MarketingData[[#This Row],[Leads]],0)</f>
        <v>53.534999999999997</v>
      </c>
    </row>
    <row r="69" spans="1:17" x14ac:dyDescent="0.35">
      <c r="A69" s="1">
        <v>46244</v>
      </c>
      <c r="B69" s="2" t="s">
        <v>98</v>
      </c>
      <c r="C69" s="2" t="s">
        <v>80</v>
      </c>
      <c r="D69" s="2" t="s">
        <v>81</v>
      </c>
      <c r="E69" s="2" t="s">
        <v>20</v>
      </c>
      <c r="F69" s="2" t="s">
        <v>28</v>
      </c>
      <c r="G69">
        <v>3568</v>
      </c>
      <c r="I69">
        <v>231</v>
      </c>
      <c r="J69">
        <v>16</v>
      </c>
      <c r="K69">
        <v>6</v>
      </c>
      <c r="L69">
        <v>445.53</v>
      </c>
      <c r="M69">
        <v>276528</v>
      </c>
      <c r="N69" s="3">
        <f>IFERROR(MarketingData[[#This Row],[Conversions]]/MarketingData[[#This Row],[Leads]],0)</f>
        <v>0.375</v>
      </c>
      <c r="O69" s="3">
        <f t="shared" si="1"/>
        <v>619.67200861894821</v>
      </c>
      <c r="P69" s="3">
        <f>IFERROR(MarketingData[[#This Row],[Clicks]]/MarketingData[[#This Row],[Impressions]],0)</f>
        <v>0</v>
      </c>
      <c r="Q69" s="3">
        <f>IFERROR(MarketingData[[#This Row],[Spend_INR]]/MarketingData[[#This Row],[Leads]],0)</f>
        <v>27.845624999999998</v>
      </c>
    </row>
    <row r="70" spans="1:17" x14ac:dyDescent="0.35">
      <c r="A70" s="1">
        <v>46245</v>
      </c>
      <c r="B70" s="2" t="s">
        <v>99</v>
      </c>
      <c r="C70" s="2" t="s">
        <v>80</v>
      </c>
      <c r="D70" s="2" t="s">
        <v>85</v>
      </c>
      <c r="E70" s="2" t="s">
        <v>16</v>
      </c>
      <c r="F70" s="2" t="s">
        <v>28</v>
      </c>
      <c r="G70">
        <v>5951</v>
      </c>
      <c r="I70">
        <v>211</v>
      </c>
      <c r="J70">
        <v>15</v>
      </c>
      <c r="K70">
        <v>8</v>
      </c>
      <c r="L70">
        <v>438.12</v>
      </c>
      <c r="M70">
        <v>547960</v>
      </c>
      <c r="N70" s="3">
        <f>IFERROR(MarketingData[[#This Row],[Conversions]]/MarketingData[[#This Row],[Leads]],0)</f>
        <v>0.53333333333333333</v>
      </c>
      <c r="O70" s="3">
        <f t="shared" si="1"/>
        <v>1249.7075687026386</v>
      </c>
      <c r="P70" s="3">
        <f>IFERROR(MarketingData[[#This Row],[Clicks]]/MarketingData[[#This Row],[Impressions]],0)</f>
        <v>0</v>
      </c>
      <c r="Q70" s="3">
        <f>IFERROR(MarketingData[[#This Row],[Spend_INR]]/MarketingData[[#This Row],[Leads]],0)</f>
        <v>29.208000000000002</v>
      </c>
    </row>
    <row r="71" spans="1:17" x14ac:dyDescent="0.35">
      <c r="A71" s="1">
        <v>46245</v>
      </c>
      <c r="B71" s="2" t="s">
        <v>100</v>
      </c>
      <c r="C71" s="2" t="s">
        <v>80</v>
      </c>
      <c r="D71" s="2" t="s">
        <v>83</v>
      </c>
      <c r="E71" s="2" t="s">
        <v>57</v>
      </c>
      <c r="F71" s="2" t="s">
        <v>28</v>
      </c>
      <c r="G71">
        <v>3923</v>
      </c>
      <c r="I71">
        <v>202</v>
      </c>
      <c r="J71">
        <v>5</v>
      </c>
      <c r="K71">
        <v>2</v>
      </c>
      <c r="L71">
        <v>356.55</v>
      </c>
      <c r="M71">
        <v>68894</v>
      </c>
      <c r="N71" s="3">
        <f>IFERROR(MarketingData[[#This Row],[Conversions]]/MarketingData[[#This Row],[Leads]],0)</f>
        <v>0.4</v>
      </c>
      <c r="O71" s="3">
        <f t="shared" si="1"/>
        <v>192.22395175992145</v>
      </c>
      <c r="P71" s="3">
        <f>IFERROR(MarketingData[[#This Row],[Clicks]]/MarketingData[[#This Row],[Impressions]],0)</f>
        <v>0</v>
      </c>
      <c r="Q71" s="3">
        <f>IFERROR(MarketingData[[#This Row],[Spend_INR]]/MarketingData[[#This Row],[Leads]],0)</f>
        <v>71.31</v>
      </c>
    </row>
    <row r="72" spans="1:17" x14ac:dyDescent="0.35">
      <c r="A72" s="1">
        <v>46246</v>
      </c>
      <c r="B72" s="2" t="s">
        <v>101</v>
      </c>
      <c r="C72" s="2" t="s">
        <v>80</v>
      </c>
      <c r="D72" s="2" t="s">
        <v>81</v>
      </c>
      <c r="E72" s="2" t="s">
        <v>16</v>
      </c>
      <c r="F72" s="2" t="s">
        <v>21</v>
      </c>
      <c r="G72">
        <v>2147</v>
      </c>
      <c r="I72">
        <v>174</v>
      </c>
      <c r="J72">
        <v>17</v>
      </c>
      <c r="K72">
        <v>7</v>
      </c>
      <c r="L72">
        <v>362.69</v>
      </c>
      <c r="M72">
        <v>320264</v>
      </c>
      <c r="N72" s="3">
        <f>IFERROR(MarketingData[[#This Row],[Conversions]]/MarketingData[[#This Row],[Leads]],0)</f>
        <v>0.41176470588235292</v>
      </c>
      <c r="O72" s="3">
        <f t="shared" si="1"/>
        <v>882.02407014254595</v>
      </c>
      <c r="P72" s="3">
        <f>IFERROR(MarketingData[[#This Row],[Clicks]]/MarketingData[[#This Row],[Impressions]],0)</f>
        <v>0</v>
      </c>
      <c r="Q72" s="3">
        <f>IFERROR(MarketingData[[#This Row],[Spend_INR]]/MarketingData[[#This Row],[Leads]],0)</f>
        <v>21.334705882352942</v>
      </c>
    </row>
    <row r="73" spans="1:17" x14ac:dyDescent="0.35">
      <c r="A73" s="1">
        <v>46246</v>
      </c>
      <c r="B73" s="2" t="s">
        <v>102</v>
      </c>
      <c r="C73" s="2" t="s">
        <v>80</v>
      </c>
      <c r="D73" s="2" t="s">
        <v>81</v>
      </c>
      <c r="E73" s="2" t="s">
        <v>57</v>
      </c>
      <c r="F73" s="2" t="s">
        <v>28</v>
      </c>
      <c r="G73">
        <v>3226</v>
      </c>
      <c r="I73">
        <v>113</v>
      </c>
      <c r="J73">
        <v>10</v>
      </c>
      <c r="K73">
        <v>5</v>
      </c>
      <c r="L73">
        <v>428.43</v>
      </c>
      <c r="M73">
        <v>157930</v>
      </c>
      <c r="N73" s="3">
        <f>IFERROR(MarketingData[[#This Row],[Conversions]]/MarketingData[[#This Row],[Leads]],0)</f>
        <v>0.5</v>
      </c>
      <c r="O73" s="3">
        <f t="shared" si="1"/>
        <v>367.6249795765936</v>
      </c>
      <c r="P73" s="3">
        <f>IFERROR(MarketingData[[#This Row],[Clicks]]/MarketingData[[#This Row],[Impressions]],0)</f>
        <v>0</v>
      </c>
      <c r="Q73" s="3">
        <f>IFERROR(MarketingData[[#This Row],[Spend_INR]]/MarketingData[[#This Row],[Leads]],0)</f>
        <v>42.843000000000004</v>
      </c>
    </row>
    <row r="74" spans="1:17" x14ac:dyDescent="0.35">
      <c r="A74" s="1">
        <v>46247</v>
      </c>
      <c r="B74" s="2" t="s">
        <v>103</v>
      </c>
      <c r="C74" s="2" t="s">
        <v>80</v>
      </c>
      <c r="D74" s="2" t="s">
        <v>83</v>
      </c>
      <c r="E74" s="2" t="s">
        <v>25</v>
      </c>
      <c r="F74" s="2" t="s">
        <v>28</v>
      </c>
      <c r="G74">
        <v>2717</v>
      </c>
      <c r="I74">
        <v>181</v>
      </c>
      <c r="J74">
        <v>9</v>
      </c>
      <c r="K74">
        <v>3</v>
      </c>
      <c r="L74">
        <v>424.42</v>
      </c>
      <c r="M74">
        <v>156012</v>
      </c>
      <c r="N74" s="3">
        <f>IFERROR(MarketingData[[#This Row],[Conversions]]/MarketingData[[#This Row],[Leads]],0)</f>
        <v>0.33333333333333331</v>
      </c>
      <c r="O74" s="3">
        <f t="shared" si="1"/>
        <v>366.58870929739402</v>
      </c>
      <c r="P74" s="3">
        <f>IFERROR(MarketingData[[#This Row],[Clicks]]/MarketingData[[#This Row],[Impressions]],0)</f>
        <v>0</v>
      </c>
      <c r="Q74" s="3">
        <f>IFERROR(MarketingData[[#This Row],[Spend_INR]]/MarketingData[[#This Row],[Leads]],0)</f>
        <v>47.157777777777781</v>
      </c>
    </row>
    <row r="75" spans="1:17" x14ac:dyDescent="0.35">
      <c r="A75" s="1">
        <v>46247</v>
      </c>
      <c r="B75" s="2" t="s">
        <v>104</v>
      </c>
      <c r="C75" s="2" t="s">
        <v>80</v>
      </c>
      <c r="D75" s="2" t="s">
        <v>85</v>
      </c>
      <c r="E75" s="2" t="s">
        <v>27</v>
      </c>
      <c r="F75" s="2" t="s">
        <v>23</v>
      </c>
      <c r="G75">
        <v>5691</v>
      </c>
      <c r="I75">
        <v>239</v>
      </c>
      <c r="J75">
        <v>6</v>
      </c>
      <c r="K75">
        <v>2</v>
      </c>
      <c r="L75">
        <v>510.17</v>
      </c>
      <c r="M75">
        <v>110236</v>
      </c>
      <c r="N75" s="3">
        <f>IFERROR(MarketingData[[#This Row],[Conversions]]/MarketingData[[#This Row],[Leads]],0)</f>
        <v>0.33333333333333331</v>
      </c>
      <c r="O75" s="3">
        <f t="shared" si="1"/>
        <v>215.07699394319539</v>
      </c>
      <c r="P75" s="3">
        <f>IFERROR(MarketingData[[#This Row],[Clicks]]/MarketingData[[#This Row],[Impressions]],0)</f>
        <v>0</v>
      </c>
      <c r="Q75" s="3">
        <f>IFERROR(MarketingData[[#This Row],[Spend_INR]]/MarketingData[[#This Row],[Leads]],0)</f>
        <v>85.028333333333336</v>
      </c>
    </row>
    <row r="76" spans="1:17" x14ac:dyDescent="0.35">
      <c r="A76" s="1">
        <v>46248</v>
      </c>
      <c r="B76" s="2" t="s">
        <v>105</v>
      </c>
      <c r="C76" s="2" t="s">
        <v>80</v>
      </c>
      <c r="D76" s="2" t="s">
        <v>83</v>
      </c>
      <c r="E76" s="2" t="s">
        <v>57</v>
      </c>
      <c r="F76" s="2" t="s">
        <v>30</v>
      </c>
      <c r="G76">
        <v>3575</v>
      </c>
      <c r="I76">
        <v>178</v>
      </c>
      <c r="J76">
        <v>13</v>
      </c>
      <c r="K76">
        <v>4</v>
      </c>
      <c r="L76">
        <v>545.82000000000005</v>
      </c>
      <c r="M76">
        <v>165560</v>
      </c>
      <c r="N76" s="3">
        <f>IFERROR(MarketingData[[#This Row],[Conversions]]/MarketingData[[#This Row],[Leads]],0)</f>
        <v>0.30769230769230771</v>
      </c>
      <c r="O76" s="3">
        <f t="shared" si="1"/>
        <v>302.32343996189218</v>
      </c>
      <c r="P76" s="3">
        <f>IFERROR(MarketingData[[#This Row],[Clicks]]/MarketingData[[#This Row],[Impressions]],0)</f>
        <v>0</v>
      </c>
      <c r="Q76" s="3">
        <f>IFERROR(MarketingData[[#This Row],[Spend_INR]]/MarketingData[[#This Row],[Leads]],0)</f>
        <v>41.986153846153847</v>
      </c>
    </row>
    <row r="77" spans="1:17" x14ac:dyDescent="0.35">
      <c r="A77" s="1">
        <v>46248</v>
      </c>
      <c r="B77" s="2" t="s">
        <v>106</v>
      </c>
      <c r="C77" s="2" t="s">
        <v>80</v>
      </c>
      <c r="D77" s="2" t="s">
        <v>81</v>
      </c>
      <c r="E77" s="2" t="s">
        <v>34</v>
      </c>
      <c r="F77" s="2" t="s">
        <v>17</v>
      </c>
      <c r="G77">
        <v>5187</v>
      </c>
      <c r="I77">
        <v>165</v>
      </c>
      <c r="J77">
        <v>4</v>
      </c>
      <c r="K77">
        <v>2</v>
      </c>
      <c r="L77">
        <v>465.82</v>
      </c>
      <c r="M77">
        <v>85976</v>
      </c>
      <c r="N77" s="3">
        <f>IFERROR(MarketingData[[#This Row],[Conversions]]/MarketingData[[#This Row],[Leads]],0)</f>
        <v>0.5</v>
      </c>
      <c r="O77" s="3">
        <f t="shared" si="1"/>
        <v>183.56914688076938</v>
      </c>
      <c r="P77" s="3">
        <f>IFERROR(MarketingData[[#This Row],[Clicks]]/MarketingData[[#This Row],[Impressions]],0)</f>
        <v>0</v>
      </c>
      <c r="Q77" s="3">
        <f>IFERROR(MarketingData[[#This Row],[Spend_INR]]/MarketingData[[#This Row],[Leads]],0)</f>
        <v>116.455</v>
      </c>
    </row>
    <row r="78" spans="1:17" x14ac:dyDescent="0.35">
      <c r="A78" s="1">
        <v>46249</v>
      </c>
      <c r="B78" s="2" t="s">
        <v>107</v>
      </c>
      <c r="C78" s="2" t="s">
        <v>80</v>
      </c>
      <c r="D78" s="2" t="s">
        <v>81</v>
      </c>
      <c r="E78" s="2" t="s">
        <v>25</v>
      </c>
      <c r="F78" s="2" t="s">
        <v>30</v>
      </c>
      <c r="G78">
        <v>5094</v>
      </c>
      <c r="I78">
        <v>148</v>
      </c>
      <c r="J78">
        <v>13</v>
      </c>
      <c r="K78">
        <v>6</v>
      </c>
      <c r="L78">
        <v>421.9</v>
      </c>
      <c r="M78">
        <v>224760</v>
      </c>
      <c r="N78" s="3">
        <f>IFERROR(MarketingData[[#This Row],[Conversions]]/MarketingData[[#This Row],[Leads]],0)</f>
        <v>0.46153846153846156</v>
      </c>
      <c r="O78" s="3">
        <f t="shared" si="1"/>
        <v>531.7328750888837</v>
      </c>
      <c r="P78" s="3">
        <f>IFERROR(MarketingData[[#This Row],[Clicks]]/MarketingData[[#This Row],[Impressions]],0)</f>
        <v>0</v>
      </c>
      <c r="Q78" s="3">
        <f>IFERROR(MarketingData[[#This Row],[Spend_INR]]/MarketingData[[#This Row],[Leads]],0)</f>
        <v>32.45384615384615</v>
      </c>
    </row>
    <row r="79" spans="1:17" x14ac:dyDescent="0.35">
      <c r="A79" s="1">
        <v>46249</v>
      </c>
      <c r="B79" s="2" t="s">
        <v>108</v>
      </c>
      <c r="C79" s="2" t="s">
        <v>80</v>
      </c>
      <c r="D79" s="2" t="s">
        <v>81</v>
      </c>
      <c r="E79" s="2" t="s">
        <v>27</v>
      </c>
      <c r="F79" s="2" t="s">
        <v>30</v>
      </c>
      <c r="G79">
        <v>3701</v>
      </c>
      <c r="I79">
        <v>202</v>
      </c>
      <c r="J79">
        <v>4</v>
      </c>
      <c r="K79">
        <v>2</v>
      </c>
      <c r="L79">
        <v>473.24</v>
      </c>
      <c r="M79">
        <v>61812</v>
      </c>
      <c r="N79" s="3">
        <f>IFERROR(MarketingData[[#This Row],[Conversions]]/MarketingData[[#This Row],[Leads]],0)</f>
        <v>0.5</v>
      </c>
      <c r="O79" s="3">
        <f t="shared" si="1"/>
        <v>129.61448736370551</v>
      </c>
      <c r="P79" s="3">
        <f>IFERROR(MarketingData[[#This Row],[Clicks]]/MarketingData[[#This Row],[Impressions]],0)</f>
        <v>0</v>
      </c>
      <c r="Q79" s="3">
        <f>IFERROR(MarketingData[[#This Row],[Spend_INR]]/MarketingData[[#This Row],[Leads]],0)</f>
        <v>118.31</v>
      </c>
    </row>
    <row r="80" spans="1:17" x14ac:dyDescent="0.35">
      <c r="A80" s="1">
        <v>46251</v>
      </c>
      <c r="B80" s="2" t="s">
        <v>109</v>
      </c>
      <c r="C80" s="2" t="s">
        <v>80</v>
      </c>
      <c r="D80" s="2" t="s">
        <v>83</v>
      </c>
      <c r="E80" s="2" t="s">
        <v>16</v>
      </c>
      <c r="F80" s="2" t="s">
        <v>30</v>
      </c>
      <c r="G80">
        <v>3918</v>
      </c>
      <c r="I80">
        <v>132</v>
      </c>
      <c r="J80">
        <v>8</v>
      </c>
      <c r="K80">
        <v>4</v>
      </c>
      <c r="L80">
        <v>494.42</v>
      </c>
      <c r="M80">
        <v>177368</v>
      </c>
      <c r="N80" s="3">
        <f>IFERROR(MarketingData[[#This Row],[Conversions]]/MarketingData[[#This Row],[Leads]],0)</f>
        <v>0.5</v>
      </c>
      <c r="O80" s="3">
        <f t="shared" si="1"/>
        <v>357.73953319040487</v>
      </c>
      <c r="P80" s="3">
        <f>IFERROR(MarketingData[[#This Row],[Clicks]]/MarketingData[[#This Row],[Impressions]],0)</f>
        <v>0</v>
      </c>
      <c r="Q80" s="3">
        <f>IFERROR(MarketingData[[#This Row],[Spend_INR]]/MarketingData[[#This Row],[Leads]],0)</f>
        <v>61.802500000000002</v>
      </c>
    </row>
    <row r="81" spans="1:17" x14ac:dyDescent="0.35">
      <c r="A81" s="1">
        <v>46251</v>
      </c>
      <c r="B81" s="2" t="s">
        <v>110</v>
      </c>
      <c r="C81" s="2" t="s">
        <v>80</v>
      </c>
      <c r="D81" s="2" t="s">
        <v>81</v>
      </c>
      <c r="E81" s="2" t="s">
        <v>57</v>
      </c>
      <c r="F81" s="2" t="s">
        <v>30</v>
      </c>
      <c r="G81">
        <v>5067</v>
      </c>
      <c r="I81">
        <v>113</v>
      </c>
      <c r="J81">
        <v>16</v>
      </c>
      <c r="K81">
        <v>5</v>
      </c>
      <c r="L81">
        <v>426.45</v>
      </c>
      <c r="M81">
        <v>165495</v>
      </c>
      <c r="N81" s="3">
        <f>IFERROR(MarketingData[[#This Row],[Conversions]]/MarketingData[[#This Row],[Leads]],0)</f>
        <v>0.3125</v>
      </c>
      <c r="O81" s="3">
        <f t="shared" si="1"/>
        <v>387.07597608160393</v>
      </c>
      <c r="P81" s="3">
        <f>IFERROR(MarketingData[[#This Row],[Clicks]]/MarketingData[[#This Row],[Impressions]],0)</f>
        <v>0</v>
      </c>
      <c r="Q81" s="3">
        <f>IFERROR(MarketingData[[#This Row],[Spend_INR]]/MarketingData[[#This Row],[Leads]],0)</f>
        <v>26.653124999999999</v>
      </c>
    </row>
    <row r="82" spans="1:17" x14ac:dyDescent="0.35">
      <c r="A82" s="1">
        <v>46252</v>
      </c>
      <c r="B82" s="2" t="s">
        <v>111</v>
      </c>
      <c r="C82" s="2" t="s">
        <v>80</v>
      </c>
      <c r="D82" s="2" t="s">
        <v>83</v>
      </c>
      <c r="E82" s="2" t="s">
        <v>27</v>
      </c>
      <c r="F82" s="2" t="s">
        <v>17</v>
      </c>
      <c r="G82">
        <v>4652</v>
      </c>
      <c r="I82">
        <v>149</v>
      </c>
      <c r="J82">
        <v>11</v>
      </c>
      <c r="K82">
        <v>2</v>
      </c>
      <c r="L82">
        <v>390.74</v>
      </c>
      <c r="M82">
        <v>123584</v>
      </c>
      <c r="N82" s="3">
        <f>IFERROR(MarketingData[[#This Row],[Conversions]]/MarketingData[[#This Row],[Leads]],0)</f>
        <v>0.18181818181818182</v>
      </c>
      <c r="O82" s="3">
        <f t="shared" si="1"/>
        <v>315.28192660080867</v>
      </c>
      <c r="P82" s="3">
        <f>IFERROR(MarketingData[[#This Row],[Clicks]]/MarketingData[[#This Row],[Impressions]],0)</f>
        <v>0</v>
      </c>
      <c r="Q82" s="3">
        <f>IFERROR(MarketingData[[#This Row],[Spend_INR]]/MarketingData[[#This Row],[Leads]],0)</f>
        <v>35.521818181818183</v>
      </c>
    </row>
    <row r="83" spans="1:17" x14ac:dyDescent="0.35">
      <c r="A83" s="1">
        <v>46252</v>
      </c>
      <c r="B83" s="2" t="s">
        <v>112</v>
      </c>
      <c r="C83" s="2" t="s">
        <v>80</v>
      </c>
      <c r="D83" s="2" t="s">
        <v>83</v>
      </c>
      <c r="E83" s="2" t="s">
        <v>34</v>
      </c>
      <c r="F83" s="2" t="s">
        <v>23</v>
      </c>
      <c r="G83">
        <v>5634</v>
      </c>
      <c r="I83">
        <v>119</v>
      </c>
      <c r="J83">
        <v>6</v>
      </c>
      <c r="K83">
        <v>1</v>
      </c>
      <c r="L83">
        <v>444.09</v>
      </c>
      <c r="M83">
        <v>57284</v>
      </c>
      <c r="N83" s="3">
        <f>IFERROR(MarketingData[[#This Row],[Conversions]]/MarketingData[[#This Row],[Leads]],0)</f>
        <v>0.16666666666666666</v>
      </c>
      <c r="O83" s="3">
        <f t="shared" si="1"/>
        <v>127.99187101713618</v>
      </c>
      <c r="P83" s="3">
        <f>IFERROR(MarketingData[[#This Row],[Clicks]]/MarketingData[[#This Row],[Impressions]],0)</f>
        <v>0</v>
      </c>
      <c r="Q83" s="3">
        <f>IFERROR(MarketingData[[#This Row],[Spend_INR]]/MarketingData[[#This Row],[Leads]],0)</f>
        <v>74.015000000000001</v>
      </c>
    </row>
    <row r="84" spans="1:17" x14ac:dyDescent="0.35">
      <c r="A84" s="1">
        <v>46253</v>
      </c>
      <c r="B84" s="2" t="s">
        <v>113</v>
      </c>
      <c r="C84" s="2" t="s">
        <v>80</v>
      </c>
      <c r="D84" s="2" t="s">
        <v>81</v>
      </c>
      <c r="E84" s="2" t="s">
        <v>27</v>
      </c>
      <c r="F84" s="2" t="s">
        <v>23</v>
      </c>
      <c r="G84">
        <v>3517</v>
      </c>
      <c r="I84">
        <v>196</v>
      </c>
      <c r="J84">
        <v>14</v>
      </c>
      <c r="K84">
        <v>3</v>
      </c>
      <c r="L84">
        <v>404.04</v>
      </c>
      <c r="M84">
        <v>155238</v>
      </c>
      <c r="N84" s="3">
        <f>IFERROR(MarketingData[[#This Row],[Conversions]]/MarketingData[[#This Row],[Leads]],0)</f>
        <v>0.21428571428571427</v>
      </c>
      <c r="O84" s="3">
        <f t="shared" si="1"/>
        <v>383.21443421443416</v>
      </c>
      <c r="P84" s="3">
        <f>IFERROR(MarketingData[[#This Row],[Clicks]]/MarketingData[[#This Row],[Impressions]],0)</f>
        <v>0</v>
      </c>
      <c r="Q84" s="3">
        <f>IFERROR(MarketingData[[#This Row],[Spend_INR]]/MarketingData[[#This Row],[Leads]],0)</f>
        <v>28.860000000000003</v>
      </c>
    </row>
    <row r="85" spans="1:17" x14ac:dyDescent="0.35">
      <c r="A85" s="1">
        <v>46253</v>
      </c>
      <c r="B85" s="2" t="s">
        <v>114</v>
      </c>
      <c r="C85" s="2" t="s">
        <v>80</v>
      </c>
      <c r="D85" s="2" t="s">
        <v>83</v>
      </c>
      <c r="E85" s="2" t="s">
        <v>57</v>
      </c>
      <c r="F85" s="2" t="s">
        <v>30</v>
      </c>
      <c r="G85">
        <v>5965</v>
      </c>
      <c r="I85">
        <v>184</v>
      </c>
      <c r="J85">
        <v>12</v>
      </c>
      <c r="K85">
        <v>6</v>
      </c>
      <c r="L85">
        <v>371.59</v>
      </c>
      <c r="M85">
        <v>173808</v>
      </c>
      <c r="N85" s="3">
        <f>IFERROR(MarketingData[[#This Row],[Conversions]]/MarketingData[[#This Row],[Leads]],0)</f>
        <v>0.5</v>
      </c>
      <c r="O85" s="3">
        <f t="shared" si="1"/>
        <v>466.74132780752984</v>
      </c>
      <c r="P85" s="3">
        <f>IFERROR(MarketingData[[#This Row],[Clicks]]/MarketingData[[#This Row],[Impressions]],0)</f>
        <v>0</v>
      </c>
      <c r="Q85" s="3">
        <f>IFERROR(MarketingData[[#This Row],[Spend_INR]]/MarketingData[[#This Row],[Leads]],0)</f>
        <v>30.965833333333332</v>
      </c>
    </row>
    <row r="86" spans="1:17" x14ac:dyDescent="0.35">
      <c r="A86" s="1">
        <v>46254</v>
      </c>
      <c r="B86" s="2" t="s">
        <v>115</v>
      </c>
      <c r="C86" s="2" t="s">
        <v>80</v>
      </c>
      <c r="D86" s="2" t="s">
        <v>83</v>
      </c>
      <c r="E86" s="2" t="s">
        <v>34</v>
      </c>
      <c r="F86" s="2" t="s">
        <v>30</v>
      </c>
      <c r="G86">
        <v>2515</v>
      </c>
      <c r="I86">
        <v>259</v>
      </c>
      <c r="J86">
        <v>7</v>
      </c>
      <c r="K86">
        <v>3</v>
      </c>
      <c r="L86">
        <v>367.77</v>
      </c>
      <c r="M86">
        <v>79197</v>
      </c>
      <c r="N86" s="3">
        <f>IFERROR(MarketingData[[#This Row],[Conversions]]/MarketingData[[#This Row],[Leads]],0)</f>
        <v>0.42857142857142855</v>
      </c>
      <c r="O86" s="3">
        <f t="shared" si="1"/>
        <v>214.34382902357453</v>
      </c>
      <c r="P86" s="3">
        <f>IFERROR(MarketingData[[#This Row],[Clicks]]/MarketingData[[#This Row],[Impressions]],0)</f>
        <v>0</v>
      </c>
      <c r="Q86" s="3">
        <f>IFERROR(MarketingData[[#This Row],[Spend_INR]]/MarketingData[[#This Row],[Leads]],0)</f>
        <v>52.538571428571423</v>
      </c>
    </row>
    <row r="87" spans="1:17" x14ac:dyDescent="0.35">
      <c r="A87" s="1">
        <v>46254</v>
      </c>
      <c r="B87" s="2" t="s">
        <v>116</v>
      </c>
      <c r="C87" s="2" t="s">
        <v>80</v>
      </c>
      <c r="D87" s="2" t="s">
        <v>83</v>
      </c>
      <c r="E87" s="2" t="s">
        <v>34</v>
      </c>
      <c r="F87" s="2" t="s">
        <v>30</v>
      </c>
      <c r="G87">
        <v>2532</v>
      </c>
      <c r="I87">
        <v>149</v>
      </c>
      <c r="J87">
        <v>9</v>
      </c>
      <c r="K87">
        <v>4</v>
      </c>
      <c r="L87">
        <v>430.98</v>
      </c>
      <c r="M87">
        <v>256232</v>
      </c>
      <c r="N87" s="3">
        <f>IFERROR(MarketingData[[#This Row],[Conversions]]/MarketingData[[#This Row],[Leads]],0)</f>
        <v>0.44444444444444442</v>
      </c>
      <c r="O87" s="3">
        <f t="shared" si="1"/>
        <v>593.53338902037217</v>
      </c>
      <c r="P87" s="3">
        <f>IFERROR(MarketingData[[#This Row],[Clicks]]/MarketingData[[#This Row],[Impressions]],0)</f>
        <v>0</v>
      </c>
      <c r="Q87" s="3">
        <f>IFERROR(MarketingData[[#This Row],[Spend_INR]]/MarketingData[[#This Row],[Leads]],0)</f>
        <v>47.88666666666667</v>
      </c>
    </row>
    <row r="88" spans="1:17" x14ac:dyDescent="0.35">
      <c r="A88" s="1">
        <v>46255</v>
      </c>
      <c r="B88" s="2" t="s">
        <v>117</v>
      </c>
      <c r="C88" s="2" t="s">
        <v>80</v>
      </c>
      <c r="D88" s="2" t="s">
        <v>85</v>
      </c>
      <c r="E88" s="2" t="s">
        <v>34</v>
      </c>
      <c r="F88" s="2" t="s">
        <v>28</v>
      </c>
      <c r="G88">
        <v>2214</v>
      </c>
      <c r="I88">
        <v>93</v>
      </c>
      <c r="J88">
        <v>9</v>
      </c>
      <c r="K88">
        <v>4</v>
      </c>
      <c r="L88">
        <v>381.41</v>
      </c>
      <c r="M88">
        <v>184872</v>
      </c>
      <c r="N88" s="3">
        <f>IFERROR(MarketingData[[#This Row],[Conversions]]/MarketingData[[#This Row],[Leads]],0)</f>
        <v>0.44444444444444442</v>
      </c>
      <c r="O88" s="3">
        <f t="shared" si="1"/>
        <v>483.70674602134181</v>
      </c>
      <c r="P88" s="3">
        <f>IFERROR(MarketingData[[#This Row],[Clicks]]/MarketingData[[#This Row],[Impressions]],0)</f>
        <v>0</v>
      </c>
      <c r="Q88" s="3">
        <f>IFERROR(MarketingData[[#This Row],[Spend_INR]]/MarketingData[[#This Row],[Leads]],0)</f>
        <v>42.378888888888895</v>
      </c>
    </row>
    <row r="89" spans="1:17" x14ac:dyDescent="0.35">
      <c r="A89" s="1">
        <v>46255</v>
      </c>
      <c r="B89" s="2" t="s">
        <v>118</v>
      </c>
      <c r="C89" s="2" t="s">
        <v>80</v>
      </c>
      <c r="D89" s="2" t="s">
        <v>83</v>
      </c>
      <c r="E89" s="2" t="s">
        <v>57</v>
      </c>
      <c r="F89" s="2" t="s">
        <v>17</v>
      </c>
      <c r="G89">
        <v>5872</v>
      </c>
      <c r="I89">
        <v>211</v>
      </c>
      <c r="J89">
        <v>11</v>
      </c>
      <c r="K89">
        <v>5</v>
      </c>
      <c r="L89">
        <v>361.06</v>
      </c>
      <c r="M89">
        <v>160730</v>
      </c>
      <c r="N89" s="3">
        <f>IFERROR(MarketingData[[#This Row],[Conversions]]/MarketingData[[#This Row],[Leads]],0)</f>
        <v>0.45454545454545453</v>
      </c>
      <c r="O89" s="3">
        <f t="shared" si="1"/>
        <v>444.16146900792114</v>
      </c>
      <c r="P89" s="3">
        <f>IFERROR(MarketingData[[#This Row],[Clicks]]/MarketingData[[#This Row],[Impressions]],0)</f>
        <v>0</v>
      </c>
      <c r="Q89" s="3">
        <f>IFERROR(MarketingData[[#This Row],[Spend_INR]]/MarketingData[[#This Row],[Leads]],0)</f>
        <v>32.823636363636361</v>
      </c>
    </row>
    <row r="90" spans="1:17" x14ac:dyDescent="0.35">
      <c r="A90" s="1">
        <v>46256</v>
      </c>
      <c r="B90" s="2" t="s">
        <v>119</v>
      </c>
      <c r="C90" s="2" t="s">
        <v>80</v>
      </c>
      <c r="D90" s="2" t="s">
        <v>85</v>
      </c>
      <c r="E90" s="2" t="s">
        <v>57</v>
      </c>
      <c r="F90" s="2" t="s">
        <v>23</v>
      </c>
      <c r="G90">
        <v>4917</v>
      </c>
      <c r="I90">
        <v>254</v>
      </c>
      <c r="J90">
        <v>4</v>
      </c>
      <c r="K90">
        <v>1</v>
      </c>
      <c r="L90">
        <v>492.69</v>
      </c>
      <c r="M90">
        <v>51320</v>
      </c>
      <c r="N90" s="3">
        <f>IFERROR(MarketingData[[#This Row],[Conversions]]/MarketingData[[#This Row],[Leads]],0)</f>
        <v>0.25</v>
      </c>
      <c r="O90" s="3">
        <f t="shared" si="1"/>
        <v>103.16286102823275</v>
      </c>
      <c r="P90" s="3">
        <f>IFERROR(MarketingData[[#This Row],[Clicks]]/MarketingData[[#This Row],[Impressions]],0)</f>
        <v>0</v>
      </c>
      <c r="Q90" s="3">
        <f>IFERROR(MarketingData[[#This Row],[Spend_INR]]/MarketingData[[#This Row],[Leads]],0)</f>
        <v>123.1725</v>
      </c>
    </row>
    <row r="91" spans="1:17" x14ac:dyDescent="0.35">
      <c r="A91" s="1">
        <v>46256</v>
      </c>
      <c r="B91" s="2" t="s">
        <v>120</v>
      </c>
      <c r="C91" s="2" t="s">
        <v>80</v>
      </c>
      <c r="D91" s="2" t="s">
        <v>85</v>
      </c>
      <c r="E91" s="2" t="s">
        <v>16</v>
      </c>
      <c r="F91" s="2" t="s">
        <v>30</v>
      </c>
      <c r="G91">
        <v>4446</v>
      </c>
      <c r="I91">
        <v>106</v>
      </c>
      <c r="J91">
        <v>6</v>
      </c>
      <c r="K91">
        <v>2</v>
      </c>
      <c r="L91">
        <v>416.98</v>
      </c>
      <c r="M91">
        <v>121874</v>
      </c>
      <c r="N91" s="3">
        <f>IFERROR(MarketingData[[#This Row],[Conversions]]/MarketingData[[#This Row],[Leads]],0)</f>
        <v>0.33333333333333331</v>
      </c>
      <c r="O91" s="3">
        <f t="shared" si="1"/>
        <v>291.27780708906903</v>
      </c>
      <c r="P91" s="3">
        <f>IFERROR(MarketingData[[#This Row],[Clicks]]/MarketingData[[#This Row],[Impressions]],0)</f>
        <v>0</v>
      </c>
      <c r="Q91" s="3">
        <f>IFERROR(MarketingData[[#This Row],[Spend_INR]]/MarketingData[[#This Row],[Leads]],0)</f>
        <v>69.49666666666667</v>
      </c>
    </row>
    <row r="92" spans="1:17" x14ac:dyDescent="0.35">
      <c r="A92" s="1">
        <v>46258</v>
      </c>
      <c r="B92" s="2" t="s">
        <v>121</v>
      </c>
      <c r="C92" s="2" t="s">
        <v>80</v>
      </c>
      <c r="D92" s="2" t="s">
        <v>85</v>
      </c>
      <c r="E92" s="2" t="s">
        <v>16</v>
      </c>
      <c r="F92" s="2" t="s">
        <v>28</v>
      </c>
      <c r="G92">
        <v>3849</v>
      </c>
      <c r="I92">
        <v>119</v>
      </c>
      <c r="J92">
        <v>17</v>
      </c>
      <c r="K92">
        <v>7</v>
      </c>
      <c r="L92">
        <v>390.22</v>
      </c>
      <c r="M92">
        <v>427924</v>
      </c>
      <c r="N92" s="3">
        <f>IFERROR(MarketingData[[#This Row],[Conversions]]/MarketingData[[#This Row],[Leads]],0)</f>
        <v>0.41176470588235292</v>
      </c>
      <c r="O92" s="3">
        <f t="shared" si="1"/>
        <v>1095.62241812311</v>
      </c>
      <c r="P92" s="3">
        <f>IFERROR(MarketingData[[#This Row],[Clicks]]/MarketingData[[#This Row],[Impressions]],0)</f>
        <v>0</v>
      </c>
      <c r="Q92" s="3">
        <f>IFERROR(MarketingData[[#This Row],[Spend_INR]]/MarketingData[[#This Row],[Leads]],0)</f>
        <v>22.954117647058826</v>
      </c>
    </row>
    <row r="93" spans="1:17" x14ac:dyDescent="0.35">
      <c r="A93" s="1">
        <v>46258</v>
      </c>
      <c r="B93" s="2" t="s">
        <v>122</v>
      </c>
      <c r="C93" s="2" t="s">
        <v>80</v>
      </c>
      <c r="D93" s="2" t="s">
        <v>83</v>
      </c>
      <c r="E93" s="2" t="s">
        <v>27</v>
      </c>
      <c r="F93" s="2" t="s">
        <v>30</v>
      </c>
      <c r="G93">
        <v>4813</v>
      </c>
      <c r="I93">
        <v>196</v>
      </c>
      <c r="J93">
        <v>15</v>
      </c>
      <c r="K93">
        <v>3</v>
      </c>
      <c r="L93">
        <v>486.94</v>
      </c>
      <c r="M93">
        <v>205764</v>
      </c>
      <c r="N93" s="3">
        <f>IFERROR(MarketingData[[#This Row],[Conversions]]/MarketingData[[#This Row],[Leads]],0)</f>
        <v>0.2</v>
      </c>
      <c r="O93" s="3">
        <f t="shared" si="1"/>
        <v>421.56540846921592</v>
      </c>
      <c r="P93" s="3">
        <f>IFERROR(MarketingData[[#This Row],[Clicks]]/MarketingData[[#This Row],[Impressions]],0)</f>
        <v>0</v>
      </c>
      <c r="Q93" s="3">
        <f>IFERROR(MarketingData[[#This Row],[Spend_INR]]/MarketingData[[#This Row],[Leads]],0)</f>
        <v>32.462666666666664</v>
      </c>
    </row>
    <row r="94" spans="1:17" x14ac:dyDescent="0.35">
      <c r="A94" s="1">
        <v>46259</v>
      </c>
      <c r="B94" s="2" t="s">
        <v>123</v>
      </c>
      <c r="C94" s="2" t="s">
        <v>80</v>
      </c>
      <c r="D94" s="2" t="s">
        <v>81</v>
      </c>
      <c r="E94" s="2" t="s">
        <v>25</v>
      </c>
      <c r="F94" s="2" t="s">
        <v>23</v>
      </c>
      <c r="G94">
        <v>5918</v>
      </c>
      <c r="I94">
        <v>200</v>
      </c>
      <c r="J94">
        <v>5</v>
      </c>
      <c r="K94">
        <v>2</v>
      </c>
      <c r="L94">
        <v>349.81</v>
      </c>
      <c r="M94">
        <v>67054</v>
      </c>
      <c r="N94" s="3">
        <f>IFERROR(MarketingData[[#This Row],[Conversions]]/MarketingData[[#This Row],[Leads]],0)</f>
        <v>0.4</v>
      </c>
      <c r="O94" s="3">
        <f t="shared" si="1"/>
        <v>190.68691575426661</v>
      </c>
      <c r="P94" s="3">
        <f>IFERROR(MarketingData[[#This Row],[Clicks]]/MarketingData[[#This Row],[Impressions]],0)</f>
        <v>0</v>
      </c>
      <c r="Q94" s="3">
        <f>IFERROR(MarketingData[[#This Row],[Spend_INR]]/MarketingData[[#This Row],[Leads]],0)</f>
        <v>69.962000000000003</v>
      </c>
    </row>
    <row r="95" spans="1:17" x14ac:dyDescent="0.35">
      <c r="A95" s="1">
        <v>46259</v>
      </c>
      <c r="B95" s="2" t="s">
        <v>124</v>
      </c>
      <c r="C95" s="2" t="s">
        <v>80</v>
      </c>
      <c r="D95" s="2" t="s">
        <v>83</v>
      </c>
      <c r="E95" s="2" t="s">
        <v>25</v>
      </c>
      <c r="F95" s="2" t="s">
        <v>28</v>
      </c>
      <c r="G95">
        <v>4689</v>
      </c>
      <c r="I95">
        <v>103</v>
      </c>
      <c r="J95">
        <v>8</v>
      </c>
      <c r="K95">
        <v>3</v>
      </c>
      <c r="L95">
        <v>478.68</v>
      </c>
      <c r="M95">
        <v>188622</v>
      </c>
      <c r="N95" s="3">
        <f>IFERROR(MarketingData[[#This Row],[Conversions]]/MarketingData[[#This Row],[Leads]],0)</f>
        <v>0.375</v>
      </c>
      <c r="O95" s="3">
        <f t="shared" si="1"/>
        <v>393.04612684883432</v>
      </c>
      <c r="P95" s="3">
        <f>IFERROR(MarketingData[[#This Row],[Clicks]]/MarketingData[[#This Row],[Impressions]],0)</f>
        <v>0</v>
      </c>
      <c r="Q95" s="3">
        <f>IFERROR(MarketingData[[#This Row],[Spend_INR]]/MarketingData[[#This Row],[Leads]],0)</f>
        <v>59.835000000000001</v>
      </c>
    </row>
    <row r="96" spans="1:17" x14ac:dyDescent="0.35">
      <c r="A96" s="1">
        <v>46260</v>
      </c>
      <c r="B96" s="2" t="s">
        <v>125</v>
      </c>
      <c r="C96" s="2" t="s">
        <v>80</v>
      </c>
      <c r="D96" s="2" t="s">
        <v>81</v>
      </c>
      <c r="E96" s="2" t="s">
        <v>25</v>
      </c>
      <c r="F96" s="2" t="s">
        <v>17</v>
      </c>
      <c r="G96">
        <v>4764</v>
      </c>
      <c r="I96">
        <v>119</v>
      </c>
      <c r="J96">
        <v>16</v>
      </c>
      <c r="K96">
        <v>5</v>
      </c>
      <c r="L96">
        <v>422.62</v>
      </c>
      <c r="M96">
        <v>265610</v>
      </c>
      <c r="N96" s="3">
        <f>IFERROR(MarketingData[[#This Row],[Conversions]]/MarketingData[[#This Row],[Leads]],0)</f>
        <v>0.3125</v>
      </c>
      <c r="O96" s="3">
        <f t="shared" si="1"/>
        <v>627.48421750035493</v>
      </c>
      <c r="P96" s="3">
        <f>IFERROR(MarketingData[[#This Row],[Clicks]]/MarketingData[[#This Row],[Impressions]],0)</f>
        <v>0</v>
      </c>
      <c r="Q96" s="3">
        <f>IFERROR(MarketingData[[#This Row],[Spend_INR]]/MarketingData[[#This Row],[Leads]],0)</f>
        <v>26.41375</v>
      </c>
    </row>
    <row r="97" spans="1:17" x14ac:dyDescent="0.35">
      <c r="A97" s="1">
        <v>46260</v>
      </c>
      <c r="B97" s="2" t="s">
        <v>126</v>
      </c>
      <c r="C97" s="2" t="s">
        <v>80</v>
      </c>
      <c r="D97" s="2" t="s">
        <v>83</v>
      </c>
      <c r="E97" s="2" t="s">
        <v>27</v>
      </c>
      <c r="F97" s="2" t="s">
        <v>23</v>
      </c>
      <c r="G97">
        <v>5562</v>
      </c>
      <c r="I97">
        <v>136</v>
      </c>
      <c r="J97">
        <v>8</v>
      </c>
      <c r="K97">
        <v>4</v>
      </c>
      <c r="L97">
        <v>344.72</v>
      </c>
      <c r="M97">
        <v>189080</v>
      </c>
      <c r="N97" s="3">
        <f>IFERROR(MarketingData[[#This Row],[Conversions]]/MarketingData[[#This Row],[Leads]],0)</f>
        <v>0.5</v>
      </c>
      <c r="O97" s="3">
        <f t="shared" si="1"/>
        <v>547.50313297748892</v>
      </c>
      <c r="P97" s="3">
        <f>IFERROR(MarketingData[[#This Row],[Clicks]]/MarketingData[[#This Row],[Impressions]],0)</f>
        <v>0</v>
      </c>
      <c r="Q97" s="3">
        <f>IFERROR(MarketingData[[#This Row],[Spend_INR]]/MarketingData[[#This Row],[Leads]],0)</f>
        <v>43.09</v>
      </c>
    </row>
    <row r="98" spans="1:17" x14ac:dyDescent="0.35">
      <c r="A98" s="1">
        <v>46261</v>
      </c>
      <c r="B98" s="2" t="s">
        <v>127</v>
      </c>
      <c r="C98" s="2" t="s">
        <v>80</v>
      </c>
      <c r="D98" s="2" t="s">
        <v>85</v>
      </c>
      <c r="E98" s="2" t="s">
        <v>57</v>
      </c>
      <c r="F98" s="2" t="s">
        <v>21</v>
      </c>
      <c r="G98">
        <v>2644</v>
      </c>
      <c r="I98">
        <v>252</v>
      </c>
      <c r="J98">
        <v>4</v>
      </c>
      <c r="K98">
        <v>1</v>
      </c>
      <c r="L98">
        <v>407.74</v>
      </c>
      <c r="M98">
        <v>49654</v>
      </c>
      <c r="N98" s="3">
        <f>IFERROR(MarketingData[[#This Row],[Conversions]]/MarketingData[[#This Row],[Leads]],0)</f>
        <v>0.25</v>
      </c>
      <c r="O98" s="3">
        <f t="shared" si="1"/>
        <v>120.77858439201452</v>
      </c>
      <c r="P98" s="3">
        <f>IFERROR(MarketingData[[#This Row],[Clicks]]/MarketingData[[#This Row],[Impressions]],0)</f>
        <v>0</v>
      </c>
      <c r="Q98" s="3">
        <f>IFERROR(MarketingData[[#This Row],[Spend_INR]]/MarketingData[[#This Row],[Leads]],0)</f>
        <v>101.935</v>
      </c>
    </row>
    <row r="99" spans="1:17" x14ac:dyDescent="0.35">
      <c r="A99" s="1">
        <v>46261</v>
      </c>
      <c r="B99" s="2" t="s">
        <v>128</v>
      </c>
      <c r="C99" s="2" t="s">
        <v>80</v>
      </c>
      <c r="D99" s="2" t="s">
        <v>81</v>
      </c>
      <c r="E99" s="2" t="s">
        <v>27</v>
      </c>
      <c r="F99" s="2" t="s">
        <v>21</v>
      </c>
      <c r="G99">
        <v>3736</v>
      </c>
      <c r="I99">
        <v>129</v>
      </c>
      <c r="J99">
        <v>6</v>
      </c>
      <c r="K99">
        <v>3</v>
      </c>
      <c r="L99">
        <v>323.98</v>
      </c>
      <c r="M99">
        <v>91038</v>
      </c>
      <c r="N99" s="3">
        <f>IFERROR(MarketingData[[#This Row],[Conversions]]/MarketingData[[#This Row],[Leads]],0)</f>
        <v>0.5</v>
      </c>
      <c r="O99" s="3">
        <f t="shared" si="1"/>
        <v>279.99882708809184</v>
      </c>
      <c r="P99" s="3">
        <f>IFERROR(MarketingData[[#This Row],[Clicks]]/MarketingData[[#This Row],[Impressions]],0)</f>
        <v>0</v>
      </c>
      <c r="Q99" s="3">
        <f>IFERROR(MarketingData[[#This Row],[Spend_INR]]/MarketingData[[#This Row],[Leads]],0)</f>
        <v>53.99666666666667</v>
      </c>
    </row>
    <row r="100" spans="1:17" x14ac:dyDescent="0.35">
      <c r="A100" s="1">
        <v>46262</v>
      </c>
      <c r="B100" s="2" t="s">
        <v>129</v>
      </c>
      <c r="C100" s="2" t="s">
        <v>80</v>
      </c>
      <c r="D100" s="2" t="s">
        <v>85</v>
      </c>
      <c r="E100" s="2" t="s">
        <v>16</v>
      </c>
      <c r="F100" s="2" t="s">
        <v>17</v>
      </c>
      <c r="G100">
        <v>4158</v>
      </c>
      <c r="I100">
        <v>221</v>
      </c>
      <c r="J100">
        <v>5</v>
      </c>
      <c r="K100">
        <v>2</v>
      </c>
      <c r="L100">
        <v>369.98</v>
      </c>
      <c r="M100">
        <v>138894</v>
      </c>
      <c r="N100" s="3">
        <f>IFERROR(MarketingData[[#This Row],[Conversions]]/MarketingData[[#This Row],[Leads]],0)</f>
        <v>0.4</v>
      </c>
      <c r="O100" s="3">
        <f t="shared" si="1"/>
        <v>374.40948159359959</v>
      </c>
      <c r="P100" s="3">
        <f>IFERROR(MarketingData[[#This Row],[Clicks]]/MarketingData[[#This Row],[Impressions]],0)</f>
        <v>0</v>
      </c>
      <c r="Q100" s="3">
        <f>IFERROR(MarketingData[[#This Row],[Spend_INR]]/MarketingData[[#This Row],[Leads]],0)</f>
        <v>73.996000000000009</v>
      </c>
    </row>
    <row r="101" spans="1:17" x14ac:dyDescent="0.35">
      <c r="A101" s="1">
        <v>46262</v>
      </c>
      <c r="B101" s="2" t="s">
        <v>130</v>
      </c>
      <c r="C101" s="2" t="s">
        <v>80</v>
      </c>
      <c r="D101" s="2" t="s">
        <v>83</v>
      </c>
      <c r="E101" s="2" t="s">
        <v>27</v>
      </c>
      <c r="F101" s="2" t="s">
        <v>30</v>
      </c>
      <c r="G101">
        <v>2031</v>
      </c>
      <c r="I101">
        <v>142</v>
      </c>
      <c r="J101">
        <v>8</v>
      </c>
      <c r="K101">
        <v>4</v>
      </c>
      <c r="L101">
        <v>381.39</v>
      </c>
      <c r="M101">
        <v>166980</v>
      </c>
      <c r="N101" s="3">
        <f>IFERROR(MarketingData[[#This Row],[Conversions]]/MarketingData[[#This Row],[Leads]],0)</f>
        <v>0.5</v>
      </c>
      <c r="O101" s="3">
        <f t="shared" si="1"/>
        <v>436.81955478643908</v>
      </c>
      <c r="P101" s="3">
        <f>IFERROR(MarketingData[[#This Row],[Clicks]]/MarketingData[[#This Row],[Impressions]],0)</f>
        <v>0</v>
      </c>
      <c r="Q101" s="3">
        <f>IFERROR(MarketingData[[#This Row],[Spend_INR]]/MarketingData[[#This Row],[Leads]],0)</f>
        <v>47.673749999999998</v>
      </c>
    </row>
    <row r="102" spans="1:17" x14ac:dyDescent="0.35">
      <c r="A102" s="1">
        <v>46263</v>
      </c>
      <c r="B102" s="2" t="s">
        <v>131</v>
      </c>
      <c r="C102" s="2" t="s">
        <v>80</v>
      </c>
      <c r="D102" s="2" t="s">
        <v>85</v>
      </c>
      <c r="E102" s="2" t="s">
        <v>27</v>
      </c>
      <c r="F102" s="2" t="s">
        <v>23</v>
      </c>
      <c r="G102">
        <v>5529</v>
      </c>
      <c r="I102">
        <v>226</v>
      </c>
      <c r="J102">
        <v>15</v>
      </c>
      <c r="K102">
        <v>4</v>
      </c>
      <c r="L102">
        <v>501.46</v>
      </c>
      <c r="M102">
        <v>275124</v>
      </c>
      <c r="N102" s="3">
        <f>IFERROR(MarketingData[[#This Row],[Conversions]]/MarketingData[[#This Row],[Leads]],0)</f>
        <v>0.26666666666666666</v>
      </c>
      <c r="O102" s="3">
        <f t="shared" si="1"/>
        <v>547.6459538148606</v>
      </c>
      <c r="P102" s="3">
        <f>IFERROR(MarketingData[[#This Row],[Clicks]]/MarketingData[[#This Row],[Impressions]],0)</f>
        <v>0</v>
      </c>
      <c r="Q102" s="3">
        <f>IFERROR(MarketingData[[#This Row],[Spend_INR]]/MarketingData[[#This Row],[Leads]],0)</f>
        <v>33.430666666666667</v>
      </c>
    </row>
    <row r="103" spans="1:17" x14ac:dyDescent="0.35">
      <c r="A103" s="1">
        <v>46263</v>
      </c>
      <c r="B103" s="2" t="s">
        <v>132</v>
      </c>
      <c r="C103" s="2" t="s">
        <v>80</v>
      </c>
      <c r="D103" s="2" t="s">
        <v>85</v>
      </c>
      <c r="E103" s="2" t="s">
        <v>27</v>
      </c>
      <c r="F103" s="2" t="s">
        <v>23</v>
      </c>
      <c r="G103">
        <v>2085</v>
      </c>
      <c r="I103">
        <v>237</v>
      </c>
      <c r="J103">
        <v>10</v>
      </c>
      <c r="K103">
        <v>4</v>
      </c>
      <c r="L103">
        <v>470.95</v>
      </c>
      <c r="M103">
        <v>209492</v>
      </c>
      <c r="N103" s="3">
        <f>IFERROR(MarketingData[[#This Row],[Conversions]]/MarketingData[[#This Row],[Leads]],0)</f>
        <v>0.4</v>
      </c>
      <c r="O103" s="3">
        <f t="shared" si="1"/>
        <v>443.82853806136529</v>
      </c>
      <c r="P103" s="3">
        <f>IFERROR(MarketingData[[#This Row],[Clicks]]/MarketingData[[#This Row],[Impressions]],0)</f>
        <v>0</v>
      </c>
      <c r="Q103" s="3">
        <f>IFERROR(MarketingData[[#This Row],[Spend_INR]]/MarketingData[[#This Row],[Leads]],0)</f>
        <v>47.094999999999999</v>
      </c>
    </row>
    <row r="104" spans="1:17" x14ac:dyDescent="0.35">
      <c r="A104" s="1">
        <v>46265</v>
      </c>
      <c r="B104" s="2" t="s">
        <v>133</v>
      </c>
      <c r="C104" s="2" t="s">
        <v>80</v>
      </c>
      <c r="D104" s="2" t="s">
        <v>83</v>
      </c>
      <c r="E104" s="2" t="s">
        <v>57</v>
      </c>
      <c r="F104" s="2" t="s">
        <v>17</v>
      </c>
      <c r="G104">
        <v>3621</v>
      </c>
      <c r="I104">
        <v>112</v>
      </c>
      <c r="J104">
        <v>10</v>
      </c>
      <c r="K104">
        <v>5</v>
      </c>
      <c r="L104">
        <v>424.33</v>
      </c>
      <c r="M104">
        <v>317960</v>
      </c>
      <c r="N104" s="3">
        <f>IFERROR(MarketingData[[#This Row],[Conversions]]/MarketingData[[#This Row],[Leads]],0)</f>
        <v>0.5</v>
      </c>
      <c r="O104" s="3">
        <f t="shared" si="1"/>
        <v>748.32246129191901</v>
      </c>
      <c r="P104" s="3">
        <f>IFERROR(MarketingData[[#This Row],[Clicks]]/MarketingData[[#This Row],[Impressions]],0)</f>
        <v>0</v>
      </c>
      <c r="Q104" s="3">
        <f>IFERROR(MarketingData[[#This Row],[Spend_INR]]/MarketingData[[#This Row],[Leads]],0)</f>
        <v>42.433</v>
      </c>
    </row>
    <row r="105" spans="1:17" x14ac:dyDescent="0.35">
      <c r="A105" s="1">
        <v>46265</v>
      </c>
      <c r="B105" s="2" t="s">
        <v>134</v>
      </c>
      <c r="C105" s="2" t="s">
        <v>80</v>
      </c>
      <c r="D105" s="2" t="s">
        <v>81</v>
      </c>
      <c r="E105" s="2" t="s">
        <v>27</v>
      </c>
      <c r="F105" s="2" t="s">
        <v>30</v>
      </c>
      <c r="G105">
        <v>5924</v>
      </c>
      <c r="I105">
        <v>109</v>
      </c>
      <c r="J105">
        <v>12</v>
      </c>
      <c r="K105">
        <v>5</v>
      </c>
      <c r="L105">
        <v>407.75</v>
      </c>
      <c r="M105">
        <v>188535</v>
      </c>
      <c r="N105" s="3">
        <f>IFERROR(MarketingData[[#This Row],[Conversions]]/MarketingData[[#This Row],[Leads]],0)</f>
        <v>0.41666666666666669</v>
      </c>
      <c r="O105" s="3">
        <f t="shared" si="1"/>
        <v>461.37890864500309</v>
      </c>
      <c r="P105" s="3">
        <f>IFERROR(MarketingData[[#This Row],[Clicks]]/MarketingData[[#This Row],[Impressions]],0)</f>
        <v>0</v>
      </c>
      <c r="Q105" s="3">
        <f>IFERROR(MarketingData[[#This Row],[Spend_INR]]/MarketingData[[#This Row],[Leads]],0)</f>
        <v>33.979166666666664</v>
      </c>
    </row>
    <row r="106" spans="1:17" x14ac:dyDescent="0.35">
      <c r="A106" s="1">
        <v>46235</v>
      </c>
      <c r="B106" s="2" t="s">
        <v>135</v>
      </c>
      <c r="C106" s="2" t="s">
        <v>136</v>
      </c>
      <c r="D106" s="2" t="s">
        <v>137</v>
      </c>
      <c r="E106" s="2" t="s">
        <v>34</v>
      </c>
      <c r="F106" s="2" t="s">
        <v>28</v>
      </c>
      <c r="H106">
        <v>53</v>
      </c>
      <c r="J106">
        <v>10</v>
      </c>
      <c r="K106">
        <v>4</v>
      </c>
      <c r="L106">
        <v>302.04000000000002</v>
      </c>
      <c r="M106">
        <v>271836</v>
      </c>
      <c r="N106" s="3">
        <f>IFERROR(MarketingData[[#This Row],[Conversions]]/MarketingData[[#This Row],[Leads]],0)</f>
        <v>0.4</v>
      </c>
      <c r="O106" s="3">
        <f t="shared" si="1"/>
        <v>899</v>
      </c>
      <c r="P106" s="3">
        <f>IFERROR(MarketingData[[#This Row],[Clicks]]/MarketingData[[#This Row],[Impressions]],0)</f>
        <v>0</v>
      </c>
      <c r="Q106" s="3">
        <f>IFERROR(MarketingData[[#This Row],[Spend_INR]]/MarketingData[[#This Row],[Leads]],0)</f>
        <v>30.204000000000001</v>
      </c>
    </row>
    <row r="107" spans="1:17" x14ac:dyDescent="0.35">
      <c r="A107" s="1">
        <v>46235</v>
      </c>
      <c r="B107" s="2" t="s">
        <v>138</v>
      </c>
      <c r="C107" s="2" t="s">
        <v>136</v>
      </c>
      <c r="D107" s="2" t="s">
        <v>15</v>
      </c>
      <c r="E107" s="2" t="s">
        <v>16</v>
      </c>
      <c r="F107" s="2" t="s">
        <v>30</v>
      </c>
      <c r="H107">
        <v>69</v>
      </c>
      <c r="J107">
        <v>23</v>
      </c>
      <c r="K107">
        <v>11</v>
      </c>
      <c r="L107">
        <v>347.31</v>
      </c>
      <c r="M107">
        <v>507991</v>
      </c>
      <c r="N107" s="3">
        <f>IFERROR(MarketingData[[#This Row],[Conversions]]/MarketingData[[#This Row],[Leads]],0)</f>
        <v>0.47826086956521741</v>
      </c>
      <c r="O107" s="3">
        <f t="shared" si="1"/>
        <v>1461.6443235150155</v>
      </c>
      <c r="P107" s="3">
        <f>IFERROR(MarketingData[[#This Row],[Clicks]]/MarketingData[[#This Row],[Impressions]],0)</f>
        <v>0</v>
      </c>
      <c r="Q107" s="3">
        <f>IFERROR(MarketingData[[#This Row],[Spend_INR]]/MarketingData[[#This Row],[Leads]],0)</f>
        <v>15.100434782608696</v>
      </c>
    </row>
    <row r="108" spans="1:17" x14ac:dyDescent="0.35">
      <c r="A108" s="1">
        <v>46237</v>
      </c>
      <c r="B108" s="2" t="s">
        <v>139</v>
      </c>
      <c r="C108" s="2" t="s">
        <v>136</v>
      </c>
      <c r="D108" s="2" t="s">
        <v>137</v>
      </c>
      <c r="E108" s="2" t="s">
        <v>34</v>
      </c>
      <c r="F108" s="2" t="s">
        <v>30</v>
      </c>
      <c r="H108">
        <v>59</v>
      </c>
      <c r="J108">
        <v>30</v>
      </c>
      <c r="K108">
        <v>9</v>
      </c>
      <c r="L108">
        <v>161.22999999999999</v>
      </c>
      <c r="M108">
        <v>524232</v>
      </c>
      <c r="N108" s="3">
        <f>IFERROR(MarketingData[[#This Row],[Conversions]]/MarketingData[[#This Row],[Leads]],0)</f>
        <v>0.3</v>
      </c>
      <c r="O108" s="3">
        <f t="shared" si="1"/>
        <v>3250.4544439620422</v>
      </c>
      <c r="P108" s="3">
        <f>IFERROR(MarketingData[[#This Row],[Clicks]]/MarketingData[[#This Row],[Impressions]],0)</f>
        <v>0</v>
      </c>
      <c r="Q108" s="3">
        <f>IFERROR(MarketingData[[#This Row],[Spend_INR]]/MarketingData[[#This Row],[Leads]],0)</f>
        <v>5.3743333333333334</v>
      </c>
    </row>
    <row r="109" spans="1:17" x14ac:dyDescent="0.35">
      <c r="A109" s="1">
        <v>46237</v>
      </c>
      <c r="B109" s="2" t="s">
        <v>140</v>
      </c>
      <c r="C109" s="2" t="s">
        <v>136</v>
      </c>
      <c r="D109" s="2" t="s">
        <v>137</v>
      </c>
      <c r="E109" s="2" t="s">
        <v>25</v>
      </c>
      <c r="F109" s="2" t="s">
        <v>17</v>
      </c>
      <c r="H109">
        <v>75</v>
      </c>
      <c r="J109">
        <v>15</v>
      </c>
      <c r="K109">
        <v>8</v>
      </c>
      <c r="L109">
        <v>321.06</v>
      </c>
      <c r="M109">
        <v>522440</v>
      </c>
      <c r="N109" s="3">
        <f>IFERROR(MarketingData[[#This Row],[Conversions]]/MarketingData[[#This Row],[Leads]],0)</f>
        <v>0.53333333333333333</v>
      </c>
      <c r="O109" s="3">
        <f t="shared" si="1"/>
        <v>1626.2347847754313</v>
      </c>
      <c r="P109" s="3">
        <f>IFERROR(MarketingData[[#This Row],[Clicks]]/MarketingData[[#This Row],[Impressions]],0)</f>
        <v>0</v>
      </c>
      <c r="Q109" s="3">
        <f>IFERROR(MarketingData[[#This Row],[Spend_INR]]/MarketingData[[#This Row],[Leads]],0)</f>
        <v>21.404</v>
      </c>
    </row>
    <row r="110" spans="1:17" x14ac:dyDescent="0.35">
      <c r="A110" s="1">
        <v>46238</v>
      </c>
      <c r="B110" s="2" t="s">
        <v>141</v>
      </c>
      <c r="C110" s="2" t="s">
        <v>136</v>
      </c>
      <c r="D110" s="2" t="s">
        <v>137</v>
      </c>
      <c r="E110" s="2" t="s">
        <v>27</v>
      </c>
      <c r="F110" s="2" t="s">
        <v>17</v>
      </c>
      <c r="H110">
        <v>78</v>
      </c>
      <c r="J110">
        <v>12</v>
      </c>
      <c r="K110">
        <v>7</v>
      </c>
      <c r="L110">
        <v>264.33</v>
      </c>
      <c r="M110">
        <v>261352</v>
      </c>
      <c r="N110" s="3">
        <f>IFERROR(MarketingData[[#This Row],[Conversions]]/MarketingData[[#This Row],[Leads]],0)</f>
        <v>0.58333333333333337</v>
      </c>
      <c r="O110" s="3">
        <f t="shared" si="1"/>
        <v>987.7337797450158</v>
      </c>
      <c r="P110" s="3">
        <f>IFERROR(MarketingData[[#This Row],[Clicks]]/MarketingData[[#This Row],[Impressions]],0)</f>
        <v>0</v>
      </c>
      <c r="Q110" s="3">
        <f>IFERROR(MarketingData[[#This Row],[Spend_INR]]/MarketingData[[#This Row],[Leads]],0)</f>
        <v>22.0275</v>
      </c>
    </row>
    <row r="111" spans="1:17" x14ac:dyDescent="0.35">
      <c r="A111" s="1">
        <v>46238</v>
      </c>
      <c r="B111" s="2" t="s">
        <v>142</v>
      </c>
      <c r="C111" s="2" t="s">
        <v>136</v>
      </c>
      <c r="D111" s="2" t="s">
        <v>80</v>
      </c>
      <c r="E111" s="2" t="s">
        <v>25</v>
      </c>
      <c r="F111" s="2" t="s">
        <v>28</v>
      </c>
      <c r="H111">
        <v>33</v>
      </c>
      <c r="J111">
        <v>17</v>
      </c>
      <c r="K111">
        <v>10</v>
      </c>
      <c r="L111">
        <v>218.69</v>
      </c>
      <c r="M111">
        <v>305260</v>
      </c>
      <c r="N111" s="3">
        <f>IFERROR(MarketingData[[#This Row],[Conversions]]/MarketingData[[#This Row],[Leads]],0)</f>
        <v>0.58823529411764708</v>
      </c>
      <c r="O111" s="3">
        <f t="shared" si="1"/>
        <v>1394.8571493895467</v>
      </c>
      <c r="P111" s="3">
        <f>IFERROR(MarketingData[[#This Row],[Clicks]]/MarketingData[[#This Row],[Impressions]],0)</f>
        <v>0</v>
      </c>
      <c r="Q111" s="3">
        <f>IFERROR(MarketingData[[#This Row],[Spend_INR]]/MarketingData[[#This Row],[Leads]],0)</f>
        <v>12.864117647058823</v>
      </c>
    </row>
    <row r="112" spans="1:17" x14ac:dyDescent="0.35">
      <c r="A112" s="1">
        <v>46239</v>
      </c>
      <c r="B112" s="2" t="s">
        <v>143</v>
      </c>
      <c r="C112" s="2" t="s">
        <v>136</v>
      </c>
      <c r="D112" s="2" t="s">
        <v>19</v>
      </c>
      <c r="E112" s="2" t="s">
        <v>57</v>
      </c>
      <c r="F112" s="2" t="s">
        <v>21</v>
      </c>
      <c r="H112">
        <v>48</v>
      </c>
      <c r="J112">
        <v>24</v>
      </c>
      <c r="K112">
        <v>6</v>
      </c>
      <c r="L112">
        <v>224.57</v>
      </c>
      <c r="M112">
        <v>261234</v>
      </c>
      <c r="N112" s="3">
        <f>IFERROR(MarketingData[[#This Row],[Conversions]]/MarketingData[[#This Row],[Leads]],0)</f>
        <v>0.25</v>
      </c>
      <c r="O112" s="3">
        <f t="shared" si="1"/>
        <v>1162.2631250834929</v>
      </c>
      <c r="P112" s="3">
        <f>IFERROR(MarketingData[[#This Row],[Clicks]]/MarketingData[[#This Row],[Impressions]],0)</f>
        <v>0</v>
      </c>
      <c r="Q112" s="3">
        <f>IFERROR(MarketingData[[#This Row],[Spend_INR]]/MarketingData[[#This Row],[Leads]],0)</f>
        <v>9.3570833333333336</v>
      </c>
    </row>
    <row r="113" spans="1:17" x14ac:dyDescent="0.35">
      <c r="A113" s="1">
        <v>46239</v>
      </c>
      <c r="B113" s="2" t="s">
        <v>144</v>
      </c>
      <c r="C113" s="2" t="s">
        <v>136</v>
      </c>
      <c r="D113" s="2" t="s">
        <v>15</v>
      </c>
      <c r="E113" s="2" t="s">
        <v>16</v>
      </c>
      <c r="F113" s="2" t="s">
        <v>17</v>
      </c>
      <c r="H113">
        <v>54</v>
      </c>
      <c r="J113">
        <v>8</v>
      </c>
      <c r="K113">
        <v>3</v>
      </c>
      <c r="L113">
        <v>227.31</v>
      </c>
      <c r="M113">
        <v>124542</v>
      </c>
      <c r="N113" s="3">
        <f>IFERROR(MarketingData[[#This Row],[Conversions]]/MarketingData[[#This Row],[Leads]],0)</f>
        <v>0.375</v>
      </c>
      <c r="O113" s="3">
        <f t="shared" si="1"/>
        <v>546.89494522898246</v>
      </c>
      <c r="P113" s="3">
        <f>IFERROR(MarketingData[[#This Row],[Clicks]]/MarketingData[[#This Row],[Impressions]],0)</f>
        <v>0</v>
      </c>
      <c r="Q113" s="3">
        <f>IFERROR(MarketingData[[#This Row],[Spend_INR]]/MarketingData[[#This Row],[Leads]],0)</f>
        <v>28.41375</v>
      </c>
    </row>
    <row r="114" spans="1:17" x14ac:dyDescent="0.35">
      <c r="A114" s="1">
        <v>46240</v>
      </c>
      <c r="B114" s="2" t="s">
        <v>145</v>
      </c>
      <c r="C114" s="2" t="s">
        <v>136</v>
      </c>
      <c r="D114" s="2" t="s">
        <v>80</v>
      </c>
      <c r="E114" s="2" t="s">
        <v>20</v>
      </c>
      <c r="F114" s="2" t="s">
        <v>17</v>
      </c>
      <c r="H114">
        <v>53</v>
      </c>
      <c r="J114">
        <v>14</v>
      </c>
      <c r="K114">
        <v>8</v>
      </c>
      <c r="L114">
        <v>289.7</v>
      </c>
      <c r="M114">
        <v>405496</v>
      </c>
      <c r="N114" s="3">
        <f>IFERROR(MarketingData[[#This Row],[Conversions]]/MarketingData[[#This Row],[Leads]],0)</f>
        <v>0.5714285714285714</v>
      </c>
      <c r="O114" s="3">
        <f t="shared" si="1"/>
        <v>1398.7100448740075</v>
      </c>
      <c r="P114" s="3">
        <f>IFERROR(MarketingData[[#This Row],[Clicks]]/MarketingData[[#This Row],[Impressions]],0)</f>
        <v>0</v>
      </c>
      <c r="Q114" s="3">
        <f>IFERROR(MarketingData[[#This Row],[Spend_INR]]/MarketingData[[#This Row],[Leads]],0)</f>
        <v>20.692857142857143</v>
      </c>
    </row>
    <row r="115" spans="1:17" x14ac:dyDescent="0.35">
      <c r="A115" s="1">
        <v>46240</v>
      </c>
      <c r="B115" s="2" t="s">
        <v>146</v>
      </c>
      <c r="C115" s="2" t="s">
        <v>136</v>
      </c>
      <c r="D115" s="2" t="s">
        <v>19</v>
      </c>
      <c r="E115" s="2" t="s">
        <v>34</v>
      </c>
      <c r="F115" s="2" t="s">
        <v>30</v>
      </c>
      <c r="H115">
        <v>31</v>
      </c>
      <c r="J115">
        <v>7</v>
      </c>
      <c r="K115">
        <v>3</v>
      </c>
      <c r="L115">
        <v>234.68</v>
      </c>
      <c r="M115">
        <v>146136</v>
      </c>
      <c r="N115" s="3">
        <f>IFERROR(MarketingData[[#This Row],[Conversions]]/MarketingData[[#This Row],[Leads]],0)</f>
        <v>0.42857142857142855</v>
      </c>
      <c r="O115" s="3">
        <f t="shared" si="1"/>
        <v>621.70325549684674</v>
      </c>
      <c r="P115" s="3">
        <f>IFERROR(MarketingData[[#This Row],[Clicks]]/MarketingData[[#This Row],[Impressions]],0)</f>
        <v>0</v>
      </c>
      <c r="Q115" s="3">
        <f>IFERROR(MarketingData[[#This Row],[Spend_INR]]/MarketingData[[#This Row],[Leads]],0)</f>
        <v>33.525714285714287</v>
      </c>
    </row>
    <row r="116" spans="1:17" x14ac:dyDescent="0.35">
      <c r="A116" s="1">
        <v>46241</v>
      </c>
      <c r="B116" s="2" t="s">
        <v>147</v>
      </c>
      <c r="C116" s="2" t="s">
        <v>136</v>
      </c>
      <c r="D116" s="2" t="s">
        <v>80</v>
      </c>
      <c r="E116" s="2" t="s">
        <v>34</v>
      </c>
      <c r="F116" s="2" t="s">
        <v>17</v>
      </c>
      <c r="H116">
        <v>66</v>
      </c>
      <c r="J116">
        <v>12</v>
      </c>
      <c r="K116">
        <v>7</v>
      </c>
      <c r="L116">
        <v>180.99</v>
      </c>
      <c r="M116">
        <v>310695</v>
      </c>
      <c r="N116" s="3">
        <f>IFERROR(MarketingData[[#This Row],[Conversions]]/MarketingData[[#This Row],[Leads]],0)</f>
        <v>0.58333333333333337</v>
      </c>
      <c r="O116" s="3">
        <f t="shared" si="1"/>
        <v>1715.6418034145534</v>
      </c>
      <c r="P116" s="3">
        <f>IFERROR(MarketingData[[#This Row],[Clicks]]/MarketingData[[#This Row],[Impressions]],0)</f>
        <v>0</v>
      </c>
      <c r="Q116" s="3">
        <f>IFERROR(MarketingData[[#This Row],[Spend_INR]]/MarketingData[[#This Row],[Leads]],0)</f>
        <v>15.082500000000001</v>
      </c>
    </row>
    <row r="117" spans="1:17" x14ac:dyDescent="0.35">
      <c r="A117" s="1">
        <v>46241</v>
      </c>
      <c r="B117" s="2" t="s">
        <v>148</v>
      </c>
      <c r="C117" s="2" t="s">
        <v>136</v>
      </c>
      <c r="D117" s="2" t="s">
        <v>80</v>
      </c>
      <c r="E117" s="2" t="s">
        <v>20</v>
      </c>
      <c r="F117" s="2" t="s">
        <v>21</v>
      </c>
      <c r="H117">
        <v>46</v>
      </c>
      <c r="J117">
        <v>17</v>
      </c>
      <c r="K117">
        <v>4</v>
      </c>
      <c r="L117">
        <v>186.17</v>
      </c>
      <c r="M117">
        <v>263768</v>
      </c>
      <c r="N117" s="3">
        <f>IFERROR(MarketingData[[#This Row],[Conversions]]/MarketingData[[#This Row],[Leads]],0)</f>
        <v>0.23529411764705882</v>
      </c>
      <c r="O117" s="3">
        <f t="shared" si="1"/>
        <v>1415.8125906429609</v>
      </c>
      <c r="P117" s="3">
        <f>IFERROR(MarketingData[[#This Row],[Clicks]]/MarketingData[[#This Row],[Impressions]],0)</f>
        <v>0</v>
      </c>
      <c r="Q117" s="3">
        <f>IFERROR(MarketingData[[#This Row],[Spend_INR]]/MarketingData[[#This Row],[Leads]],0)</f>
        <v>10.951176470588235</v>
      </c>
    </row>
    <row r="118" spans="1:17" x14ac:dyDescent="0.35">
      <c r="A118" s="1">
        <v>46242</v>
      </c>
      <c r="B118" s="2" t="s">
        <v>149</v>
      </c>
      <c r="C118" s="2" t="s">
        <v>136</v>
      </c>
      <c r="D118" s="2" t="s">
        <v>15</v>
      </c>
      <c r="E118" s="2" t="s">
        <v>20</v>
      </c>
      <c r="F118" s="2" t="s">
        <v>17</v>
      </c>
      <c r="H118">
        <v>59</v>
      </c>
      <c r="J118">
        <v>24</v>
      </c>
      <c r="K118">
        <v>8</v>
      </c>
      <c r="L118">
        <v>299.70999999999998</v>
      </c>
      <c r="M118">
        <v>435360</v>
      </c>
      <c r="N118" s="3">
        <f>IFERROR(MarketingData[[#This Row],[Conversions]]/MarketingData[[#This Row],[Leads]],0)</f>
        <v>0.33333333333333331</v>
      </c>
      <c r="O118" s="3">
        <f t="shared" si="1"/>
        <v>1451.6041840445764</v>
      </c>
      <c r="P118" s="3">
        <f>IFERROR(MarketingData[[#This Row],[Clicks]]/MarketingData[[#This Row],[Impressions]],0)</f>
        <v>0</v>
      </c>
      <c r="Q118" s="3">
        <f>IFERROR(MarketingData[[#This Row],[Spend_INR]]/MarketingData[[#This Row],[Leads]],0)</f>
        <v>12.487916666666665</v>
      </c>
    </row>
    <row r="119" spans="1:17" x14ac:dyDescent="0.35">
      <c r="A119" s="1">
        <v>46242</v>
      </c>
      <c r="B119" s="2" t="s">
        <v>150</v>
      </c>
      <c r="C119" s="2" t="s">
        <v>136</v>
      </c>
      <c r="D119" s="2" t="s">
        <v>137</v>
      </c>
      <c r="E119" s="2" t="s">
        <v>27</v>
      </c>
      <c r="F119" s="2" t="s">
        <v>21</v>
      </c>
      <c r="H119">
        <v>45</v>
      </c>
      <c r="J119">
        <v>26</v>
      </c>
      <c r="K119">
        <v>15</v>
      </c>
      <c r="L119">
        <v>346.89</v>
      </c>
      <c r="M119">
        <v>828840</v>
      </c>
      <c r="N119" s="3">
        <f>IFERROR(MarketingData[[#This Row],[Conversions]]/MarketingData[[#This Row],[Leads]],0)</f>
        <v>0.57692307692307687</v>
      </c>
      <c r="O119" s="3">
        <f t="shared" si="1"/>
        <v>2388.3453256075413</v>
      </c>
      <c r="P119" s="3">
        <f>IFERROR(MarketingData[[#This Row],[Clicks]]/MarketingData[[#This Row],[Impressions]],0)</f>
        <v>0</v>
      </c>
      <c r="Q119" s="3">
        <f>IFERROR(MarketingData[[#This Row],[Spend_INR]]/MarketingData[[#This Row],[Leads]],0)</f>
        <v>13.341923076923077</v>
      </c>
    </row>
    <row r="120" spans="1:17" x14ac:dyDescent="0.35">
      <c r="A120" s="1">
        <v>46244</v>
      </c>
      <c r="B120" s="2" t="s">
        <v>151</v>
      </c>
      <c r="C120" s="2" t="s">
        <v>136</v>
      </c>
      <c r="D120" s="2" t="s">
        <v>80</v>
      </c>
      <c r="E120" s="2" t="s">
        <v>34</v>
      </c>
      <c r="F120" s="2" t="s">
        <v>17</v>
      </c>
      <c r="H120">
        <v>46</v>
      </c>
      <c r="J120">
        <v>6</v>
      </c>
      <c r="K120">
        <v>3</v>
      </c>
      <c r="L120">
        <v>324.82</v>
      </c>
      <c r="M120">
        <v>184026</v>
      </c>
      <c r="N120" s="3">
        <f>IFERROR(MarketingData[[#This Row],[Conversions]]/MarketingData[[#This Row],[Leads]],0)</f>
        <v>0.5</v>
      </c>
      <c r="O120" s="3">
        <f t="shared" si="1"/>
        <v>565.54762637768613</v>
      </c>
      <c r="P120" s="3">
        <f>IFERROR(MarketingData[[#This Row],[Clicks]]/MarketingData[[#This Row],[Impressions]],0)</f>
        <v>0</v>
      </c>
      <c r="Q120" s="3">
        <f>IFERROR(MarketingData[[#This Row],[Spend_INR]]/MarketingData[[#This Row],[Leads]],0)</f>
        <v>54.136666666666663</v>
      </c>
    </row>
    <row r="121" spans="1:17" x14ac:dyDescent="0.35">
      <c r="A121" s="1">
        <v>46244</v>
      </c>
      <c r="B121" s="2" t="s">
        <v>152</v>
      </c>
      <c r="C121" s="2" t="s">
        <v>136</v>
      </c>
      <c r="D121" s="2" t="s">
        <v>80</v>
      </c>
      <c r="E121" s="2" t="s">
        <v>57</v>
      </c>
      <c r="F121" s="2" t="s">
        <v>30</v>
      </c>
      <c r="H121">
        <v>66</v>
      </c>
      <c r="J121">
        <v>21</v>
      </c>
      <c r="K121">
        <v>5</v>
      </c>
      <c r="L121">
        <v>237.49</v>
      </c>
      <c r="M121">
        <v>197755</v>
      </c>
      <c r="N121" s="3">
        <f>IFERROR(MarketingData[[#This Row],[Conversions]]/MarketingData[[#This Row],[Leads]],0)</f>
        <v>0.23809523809523808</v>
      </c>
      <c r="O121" s="3">
        <f t="shared" si="1"/>
        <v>831.68769211335211</v>
      </c>
      <c r="P121" s="3">
        <f>IFERROR(MarketingData[[#This Row],[Clicks]]/MarketingData[[#This Row],[Impressions]],0)</f>
        <v>0</v>
      </c>
      <c r="Q121" s="3">
        <f>IFERROR(MarketingData[[#This Row],[Spend_INR]]/MarketingData[[#This Row],[Leads]],0)</f>
        <v>11.30904761904762</v>
      </c>
    </row>
    <row r="122" spans="1:17" x14ac:dyDescent="0.35">
      <c r="A122" s="1">
        <v>46245</v>
      </c>
      <c r="B122" s="2" t="s">
        <v>153</v>
      </c>
      <c r="C122" s="2" t="s">
        <v>136</v>
      </c>
      <c r="D122" s="2" t="s">
        <v>19</v>
      </c>
      <c r="E122" s="2" t="s">
        <v>27</v>
      </c>
      <c r="F122" s="2" t="s">
        <v>23</v>
      </c>
      <c r="H122">
        <v>77</v>
      </c>
      <c r="J122">
        <v>17</v>
      </c>
      <c r="K122">
        <v>10</v>
      </c>
      <c r="L122">
        <v>224.98</v>
      </c>
      <c r="M122">
        <v>268470</v>
      </c>
      <c r="N122" s="3">
        <f>IFERROR(MarketingData[[#This Row],[Conversions]]/MarketingData[[#This Row],[Leads]],0)</f>
        <v>0.58823529411764708</v>
      </c>
      <c r="O122" s="3">
        <f t="shared" si="1"/>
        <v>1192.3060716508135</v>
      </c>
      <c r="P122" s="3">
        <f>IFERROR(MarketingData[[#This Row],[Clicks]]/MarketingData[[#This Row],[Impressions]],0)</f>
        <v>0</v>
      </c>
      <c r="Q122" s="3">
        <f>IFERROR(MarketingData[[#This Row],[Spend_INR]]/MarketingData[[#This Row],[Leads]],0)</f>
        <v>13.234117647058824</v>
      </c>
    </row>
    <row r="123" spans="1:17" x14ac:dyDescent="0.35">
      <c r="A123" s="1">
        <v>46245</v>
      </c>
      <c r="B123" s="2" t="s">
        <v>154</v>
      </c>
      <c r="C123" s="2" t="s">
        <v>136</v>
      </c>
      <c r="D123" s="2" t="s">
        <v>80</v>
      </c>
      <c r="E123" s="2" t="s">
        <v>57</v>
      </c>
      <c r="F123" s="2" t="s">
        <v>17</v>
      </c>
      <c r="H123">
        <v>47</v>
      </c>
      <c r="J123">
        <v>27</v>
      </c>
      <c r="K123">
        <v>14</v>
      </c>
      <c r="L123">
        <v>301.77</v>
      </c>
      <c r="M123">
        <v>780402</v>
      </c>
      <c r="N123" s="3">
        <f>IFERROR(MarketingData[[#This Row],[Conversions]]/MarketingData[[#This Row],[Leads]],0)</f>
        <v>0.51851851851851849</v>
      </c>
      <c r="O123" s="3">
        <f t="shared" si="1"/>
        <v>2585.0821155184412</v>
      </c>
      <c r="P123" s="3">
        <f>IFERROR(MarketingData[[#This Row],[Clicks]]/MarketingData[[#This Row],[Impressions]],0)</f>
        <v>0</v>
      </c>
      <c r="Q123" s="3">
        <f>IFERROR(MarketingData[[#This Row],[Spend_INR]]/MarketingData[[#This Row],[Leads]],0)</f>
        <v>11.176666666666666</v>
      </c>
    </row>
    <row r="124" spans="1:17" x14ac:dyDescent="0.35">
      <c r="A124" s="1">
        <v>46246</v>
      </c>
      <c r="B124" s="2" t="s">
        <v>155</v>
      </c>
      <c r="C124" s="2" t="s">
        <v>136</v>
      </c>
      <c r="D124" s="2" t="s">
        <v>80</v>
      </c>
      <c r="E124" s="2" t="s">
        <v>20</v>
      </c>
      <c r="F124" s="2" t="s">
        <v>30</v>
      </c>
      <c r="H124">
        <v>50</v>
      </c>
      <c r="J124">
        <v>28</v>
      </c>
      <c r="K124">
        <v>12</v>
      </c>
      <c r="L124">
        <v>234.65</v>
      </c>
      <c r="M124">
        <v>526572</v>
      </c>
      <c r="N124" s="3">
        <f>IFERROR(MarketingData[[#This Row],[Conversions]]/MarketingData[[#This Row],[Leads]],0)</f>
        <v>0.42857142857142855</v>
      </c>
      <c r="O124" s="3">
        <f t="shared" si="1"/>
        <v>2243.0741529938205</v>
      </c>
      <c r="P124" s="3">
        <f>IFERROR(MarketingData[[#This Row],[Clicks]]/MarketingData[[#This Row],[Impressions]],0)</f>
        <v>0</v>
      </c>
      <c r="Q124" s="3">
        <f>IFERROR(MarketingData[[#This Row],[Spend_INR]]/MarketingData[[#This Row],[Leads]],0)</f>
        <v>8.3803571428571431</v>
      </c>
    </row>
    <row r="125" spans="1:17" x14ac:dyDescent="0.35">
      <c r="A125" s="1">
        <v>46246</v>
      </c>
      <c r="B125" s="2" t="s">
        <v>156</v>
      </c>
      <c r="C125" s="2" t="s">
        <v>136</v>
      </c>
      <c r="D125" s="2" t="s">
        <v>15</v>
      </c>
      <c r="E125" s="2" t="s">
        <v>25</v>
      </c>
      <c r="F125" s="2" t="s">
        <v>23</v>
      </c>
      <c r="H125">
        <v>50</v>
      </c>
      <c r="J125">
        <v>7</v>
      </c>
      <c r="K125">
        <v>2</v>
      </c>
      <c r="L125">
        <v>331.03</v>
      </c>
      <c r="M125">
        <v>128214</v>
      </c>
      <c r="N125" s="3">
        <f>IFERROR(MarketingData[[#This Row],[Conversions]]/MarketingData[[#This Row],[Leads]],0)</f>
        <v>0.2857142857142857</v>
      </c>
      <c r="O125" s="3">
        <f t="shared" si="1"/>
        <v>386.31836993625961</v>
      </c>
      <c r="P125" s="3">
        <f>IFERROR(MarketingData[[#This Row],[Clicks]]/MarketingData[[#This Row],[Impressions]],0)</f>
        <v>0</v>
      </c>
      <c r="Q125" s="3">
        <f>IFERROR(MarketingData[[#This Row],[Spend_INR]]/MarketingData[[#This Row],[Leads]],0)</f>
        <v>47.29</v>
      </c>
    </row>
    <row r="126" spans="1:17" x14ac:dyDescent="0.35">
      <c r="A126" s="1">
        <v>46247</v>
      </c>
      <c r="B126" s="2" t="s">
        <v>157</v>
      </c>
      <c r="C126" s="2" t="s">
        <v>136</v>
      </c>
      <c r="D126" s="2" t="s">
        <v>19</v>
      </c>
      <c r="E126" s="2" t="s">
        <v>34</v>
      </c>
      <c r="F126" s="2" t="s">
        <v>17</v>
      </c>
      <c r="H126">
        <v>38</v>
      </c>
      <c r="J126">
        <v>12</v>
      </c>
      <c r="K126">
        <v>5</v>
      </c>
      <c r="L126">
        <v>187.46</v>
      </c>
      <c r="M126">
        <v>343960</v>
      </c>
      <c r="N126" s="3">
        <f>IFERROR(MarketingData[[#This Row],[Conversions]]/MarketingData[[#This Row],[Leads]],0)</f>
        <v>0.41666666666666669</v>
      </c>
      <c r="O126" s="3">
        <f t="shared" si="1"/>
        <v>1833.8447668836016</v>
      </c>
      <c r="P126" s="3">
        <f>IFERROR(MarketingData[[#This Row],[Clicks]]/MarketingData[[#This Row],[Impressions]],0)</f>
        <v>0</v>
      </c>
      <c r="Q126" s="3">
        <f>IFERROR(MarketingData[[#This Row],[Spend_INR]]/MarketingData[[#This Row],[Leads]],0)</f>
        <v>15.621666666666668</v>
      </c>
    </row>
    <row r="127" spans="1:17" x14ac:dyDescent="0.35">
      <c r="A127" s="1">
        <v>46247</v>
      </c>
      <c r="B127" s="2" t="s">
        <v>158</v>
      </c>
      <c r="C127" s="2" t="s">
        <v>136</v>
      </c>
      <c r="D127" s="2" t="s">
        <v>19</v>
      </c>
      <c r="E127" s="2" t="s">
        <v>57</v>
      </c>
      <c r="F127" s="2" t="s">
        <v>30</v>
      </c>
      <c r="H127">
        <v>48</v>
      </c>
      <c r="J127">
        <v>5</v>
      </c>
      <c r="K127">
        <v>2</v>
      </c>
      <c r="L127">
        <v>244.03</v>
      </c>
      <c r="M127">
        <v>133318</v>
      </c>
      <c r="N127" s="3">
        <f>IFERROR(MarketingData[[#This Row],[Conversions]]/MarketingData[[#This Row],[Leads]],0)</f>
        <v>0.4</v>
      </c>
      <c r="O127" s="3">
        <f t="shared" si="1"/>
        <v>545.31807564643691</v>
      </c>
      <c r="P127" s="3">
        <f>IFERROR(MarketingData[[#This Row],[Clicks]]/MarketingData[[#This Row],[Impressions]],0)</f>
        <v>0</v>
      </c>
      <c r="Q127" s="3">
        <f>IFERROR(MarketingData[[#This Row],[Spend_INR]]/MarketingData[[#This Row],[Leads]],0)</f>
        <v>48.805999999999997</v>
      </c>
    </row>
    <row r="128" spans="1:17" x14ac:dyDescent="0.35">
      <c r="A128" s="1">
        <v>46248</v>
      </c>
      <c r="B128" s="2" t="s">
        <v>159</v>
      </c>
      <c r="C128" s="2" t="s">
        <v>136</v>
      </c>
      <c r="D128" s="2" t="s">
        <v>19</v>
      </c>
      <c r="E128" s="2" t="s">
        <v>20</v>
      </c>
      <c r="F128" s="2" t="s">
        <v>23</v>
      </c>
      <c r="H128">
        <v>61</v>
      </c>
      <c r="J128">
        <v>26</v>
      </c>
      <c r="K128">
        <v>12</v>
      </c>
      <c r="L128">
        <v>304.3</v>
      </c>
      <c r="M128">
        <v>561492</v>
      </c>
      <c r="N128" s="3">
        <f>IFERROR(MarketingData[[#This Row],[Conversions]]/MarketingData[[#This Row],[Leads]],0)</f>
        <v>0.46153846153846156</v>
      </c>
      <c r="O128" s="3">
        <f t="shared" si="1"/>
        <v>1844.1922444955633</v>
      </c>
      <c r="P128" s="3">
        <f>IFERROR(MarketingData[[#This Row],[Clicks]]/MarketingData[[#This Row],[Impressions]],0)</f>
        <v>0</v>
      </c>
      <c r="Q128" s="3">
        <f>IFERROR(MarketingData[[#This Row],[Spend_INR]]/MarketingData[[#This Row],[Leads]],0)</f>
        <v>11.703846153846154</v>
      </c>
    </row>
    <row r="129" spans="1:17" x14ac:dyDescent="0.35">
      <c r="A129" s="1">
        <v>46248</v>
      </c>
      <c r="B129" s="2" t="s">
        <v>160</v>
      </c>
      <c r="C129" s="2" t="s">
        <v>136</v>
      </c>
      <c r="D129" s="2" t="s">
        <v>137</v>
      </c>
      <c r="E129" s="2" t="s">
        <v>20</v>
      </c>
      <c r="F129" s="2" t="s">
        <v>23</v>
      </c>
      <c r="H129">
        <v>56</v>
      </c>
      <c r="J129">
        <v>19</v>
      </c>
      <c r="K129">
        <v>11</v>
      </c>
      <c r="L129">
        <v>245.71</v>
      </c>
      <c r="M129">
        <v>406395</v>
      </c>
      <c r="N129" s="3">
        <f>IFERROR(MarketingData[[#This Row],[Conversions]]/MarketingData[[#This Row],[Leads]],0)</f>
        <v>0.57894736842105265</v>
      </c>
      <c r="O129" s="3">
        <f t="shared" si="1"/>
        <v>1652.9619877090879</v>
      </c>
      <c r="P129" s="3">
        <f>IFERROR(MarketingData[[#This Row],[Clicks]]/MarketingData[[#This Row],[Impressions]],0)</f>
        <v>0</v>
      </c>
      <c r="Q129" s="3">
        <f>IFERROR(MarketingData[[#This Row],[Spend_INR]]/MarketingData[[#This Row],[Leads]],0)</f>
        <v>12.932105263157895</v>
      </c>
    </row>
    <row r="130" spans="1:17" x14ac:dyDescent="0.35">
      <c r="A130" s="1">
        <v>46249</v>
      </c>
      <c r="B130" s="2" t="s">
        <v>161</v>
      </c>
      <c r="C130" s="2" t="s">
        <v>136</v>
      </c>
      <c r="D130" s="2" t="s">
        <v>80</v>
      </c>
      <c r="E130" s="2" t="s">
        <v>57</v>
      </c>
      <c r="F130" s="2" t="s">
        <v>30</v>
      </c>
      <c r="H130">
        <v>38</v>
      </c>
      <c r="J130">
        <v>10</v>
      </c>
      <c r="K130">
        <v>6</v>
      </c>
      <c r="L130">
        <v>253.08</v>
      </c>
      <c r="M130">
        <v>363528</v>
      </c>
      <c r="N130" s="3">
        <f>IFERROR(MarketingData[[#This Row],[Conversions]]/MarketingData[[#This Row],[Leads]],0)</f>
        <v>0.6</v>
      </c>
      <c r="O130" s="3">
        <f t="shared" ref="O130:O193" si="2">IFERROR((M130-L130)/L130,0)</f>
        <v>1435.4153627311521</v>
      </c>
      <c r="P130" s="3">
        <f>IFERROR(MarketingData[[#This Row],[Clicks]]/MarketingData[[#This Row],[Impressions]],0)</f>
        <v>0</v>
      </c>
      <c r="Q130" s="3">
        <f>IFERROR(MarketingData[[#This Row],[Spend_INR]]/MarketingData[[#This Row],[Leads]],0)</f>
        <v>25.308</v>
      </c>
    </row>
    <row r="131" spans="1:17" x14ac:dyDescent="0.35">
      <c r="A131" s="1">
        <v>46249</v>
      </c>
      <c r="B131" s="2" t="s">
        <v>162</v>
      </c>
      <c r="C131" s="2" t="s">
        <v>136</v>
      </c>
      <c r="D131" s="2" t="s">
        <v>137</v>
      </c>
      <c r="E131" s="2" t="s">
        <v>57</v>
      </c>
      <c r="F131" s="2" t="s">
        <v>21</v>
      </c>
      <c r="H131">
        <v>63</v>
      </c>
      <c r="J131">
        <v>15</v>
      </c>
      <c r="K131">
        <v>5</v>
      </c>
      <c r="L131">
        <v>309.87</v>
      </c>
      <c r="M131">
        <v>268180</v>
      </c>
      <c r="N131" s="3">
        <f>IFERROR(MarketingData[[#This Row],[Conversions]]/MarketingData[[#This Row],[Leads]],0)</f>
        <v>0.33333333333333331</v>
      </c>
      <c r="O131" s="3">
        <f t="shared" si="2"/>
        <v>864.45970891018817</v>
      </c>
      <c r="P131" s="3">
        <f>IFERROR(MarketingData[[#This Row],[Clicks]]/MarketingData[[#This Row],[Impressions]],0)</f>
        <v>0</v>
      </c>
      <c r="Q131" s="3">
        <f>IFERROR(MarketingData[[#This Row],[Spend_INR]]/MarketingData[[#This Row],[Leads]],0)</f>
        <v>20.658000000000001</v>
      </c>
    </row>
    <row r="132" spans="1:17" x14ac:dyDescent="0.35">
      <c r="A132" s="1">
        <v>46251</v>
      </c>
      <c r="B132" s="2" t="s">
        <v>163</v>
      </c>
      <c r="C132" s="2" t="s">
        <v>136</v>
      </c>
      <c r="D132" s="2" t="s">
        <v>15</v>
      </c>
      <c r="E132" s="2" t="s">
        <v>34</v>
      </c>
      <c r="F132" s="2" t="s">
        <v>21</v>
      </c>
      <c r="H132">
        <v>69</v>
      </c>
      <c r="J132">
        <v>30</v>
      </c>
      <c r="K132">
        <v>12</v>
      </c>
      <c r="L132">
        <v>310.23</v>
      </c>
      <c r="M132">
        <v>633840</v>
      </c>
      <c r="N132" s="3">
        <f>IFERROR(MarketingData[[#This Row],[Conversions]]/MarketingData[[#This Row],[Leads]],0)</f>
        <v>0.4</v>
      </c>
      <c r="O132" s="3">
        <f t="shared" si="2"/>
        <v>2042.1292911710666</v>
      </c>
      <c r="P132" s="3">
        <f>IFERROR(MarketingData[[#This Row],[Clicks]]/MarketingData[[#This Row],[Impressions]],0)</f>
        <v>0</v>
      </c>
      <c r="Q132" s="3">
        <f>IFERROR(MarketingData[[#This Row],[Spend_INR]]/MarketingData[[#This Row],[Leads]],0)</f>
        <v>10.341000000000001</v>
      </c>
    </row>
    <row r="133" spans="1:17" x14ac:dyDescent="0.35">
      <c r="A133" s="1">
        <v>46251</v>
      </c>
      <c r="B133" s="2" t="s">
        <v>164</v>
      </c>
      <c r="C133" s="2" t="s">
        <v>136</v>
      </c>
      <c r="D133" s="2" t="s">
        <v>19</v>
      </c>
      <c r="E133" s="2" t="s">
        <v>20</v>
      </c>
      <c r="F133" s="2" t="s">
        <v>21</v>
      </c>
      <c r="H133">
        <v>60</v>
      </c>
      <c r="J133">
        <v>26</v>
      </c>
      <c r="K133">
        <v>8</v>
      </c>
      <c r="L133">
        <v>239.18</v>
      </c>
      <c r="M133">
        <v>423400</v>
      </c>
      <c r="N133" s="3">
        <f>IFERROR(MarketingData[[#This Row],[Conversions]]/MarketingData[[#This Row],[Leads]],0)</f>
        <v>0.30769230769230771</v>
      </c>
      <c r="O133" s="3">
        <f t="shared" si="2"/>
        <v>1769.2149009114473</v>
      </c>
      <c r="P133" s="3">
        <f>IFERROR(MarketingData[[#This Row],[Clicks]]/MarketingData[[#This Row],[Impressions]],0)</f>
        <v>0</v>
      </c>
      <c r="Q133" s="3">
        <f>IFERROR(MarketingData[[#This Row],[Spend_INR]]/MarketingData[[#This Row],[Leads]],0)</f>
        <v>9.1992307692307698</v>
      </c>
    </row>
    <row r="134" spans="1:17" x14ac:dyDescent="0.35">
      <c r="A134" s="1">
        <v>46252</v>
      </c>
      <c r="B134" s="2" t="s">
        <v>165</v>
      </c>
      <c r="C134" s="2" t="s">
        <v>136</v>
      </c>
      <c r="D134" s="2" t="s">
        <v>19</v>
      </c>
      <c r="E134" s="2" t="s">
        <v>34</v>
      </c>
      <c r="F134" s="2" t="s">
        <v>21</v>
      </c>
      <c r="H134">
        <v>67</v>
      </c>
      <c r="J134">
        <v>18</v>
      </c>
      <c r="K134">
        <v>6</v>
      </c>
      <c r="L134">
        <v>346.01</v>
      </c>
      <c r="M134">
        <v>172554</v>
      </c>
      <c r="N134" s="3">
        <f>IFERROR(MarketingData[[#This Row],[Conversions]]/MarketingData[[#This Row],[Leads]],0)</f>
        <v>0.33333333333333331</v>
      </c>
      <c r="O134" s="3">
        <f t="shared" si="2"/>
        <v>497.69656946331031</v>
      </c>
      <c r="P134" s="3">
        <f>IFERROR(MarketingData[[#This Row],[Clicks]]/MarketingData[[#This Row],[Impressions]],0)</f>
        <v>0</v>
      </c>
      <c r="Q134" s="3">
        <f>IFERROR(MarketingData[[#This Row],[Spend_INR]]/MarketingData[[#This Row],[Leads]],0)</f>
        <v>19.222777777777779</v>
      </c>
    </row>
    <row r="135" spans="1:17" x14ac:dyDescent="0.35">
      <c r="A135" s="1">
        <v>46252</v>
      </c>
      <c r="B135" s="2" t="s">
        <v>166</v>
      </c>
      <c r="C135" s="2" t="s">
        <v>136</v>
      </c>
      <c r="D135" s="2" t="s">
        <v>19</v>
      </c>
      <c r="E135" s="2" t="s">
        <v>20</v>
      </c>
      <c r="F135" s="2" t="s">
        <v>30</v>
      </c>
      <c r="H135">
        <v>62</v>
      </c>
      <c r="J135">
        <v>26</v>
      </c>
      <c r="K135">
        <v>13</v>
      </c>
      <c r="L135">
        <v>156.96</v>
      </c>
      <c r="M135">
        <v>382278</v>
      </c>
      <c r="N135" s="3">
        <f>IFERROR(MarketingData[[#This Row],[Conversions]]/MarketingData[[#This Row],[Leads]],0)</f>
        <v>0.5</v>
      </c>
      <c r="O135" s="3">
        <f t="shared" si="2"/>
        <v>2434.512232415902</v>
      </c>
      <c r="P135" s="3">
        <f>IFERROR(MarketingData[[#This Row],[Clicks]]/MarketingData[[#This Row],[Impressions]],0)</f>
        <v>0</v>
      </c>
      <c r="Q135" s="3">
        <f>IFERROR(MarketingData[[#This Row],[Spend_INR]]/MarketingData[[#This Row],[Leads]],0)</f>
        <v>6.0369230769230775</v>
      </c>
    </row>
    <row r="136" spans="1:17" x14ac:dyDescent="0.35">
      <c r="A136" s="1">
        <v>46253</v>
      </c>
      <c r="B136" s="2" t="s">
        <v>167</v>
      </c>
      <c r="C136" s="2" t="s">
        <v>136</v>
      </c>
      <c r="D136" s="2" t="s">
        <v>19</v>
      </c>
      <c r="E136" s="2" t="s">
        <v>25</v>
      </c>
      <c r="F136" s="2" t="s">
        <v>28</v>
      </c>
      <c r="H136">
        <v>67</v>
      </c>
      <c r="J136">
        <v>19</v>
      </c>
      <c r="K136">
        <v>11</v>
      </c>
      <c r="L136">
        <v>224.4</v>
      </c>
      <c r="M136">
        <v>330418</v>
      </c>
      <c r="N136" s="3">
        <f>IFERROR(MarketingData[[#This Row],[Conversions]]/MarketingData[[#This Row],[Leads]],0)</f>
        <v>0.57894736842105265</v>
      </c>
      <c r="O136" s="3">
        <f t="shared" si="2"/>
        <v>1471.4509803921567</v>
      </c>
      <c r="P136" s="3">
        <f>IFERROR(MarketingData[[#This Row],[Clicks]]/MarketingData[[#This Row],[Impressions]],0)</f>
        <v>0</v>
      </c>
      <c r="Q136" s="3">
        <f>IFERROR(MarketingData[[#This Row],[Spend_INR]]/MarketingData[[#This Row],[Leads]],0)</f>
        <v>11.810526315789474</v>
      </c>
    </row>
    <row r="137" spans="1:17" x14ac:dyDescent="0.35">
      <c r="A137" s="1">
        <v>46253</v>
      </c>
      <c r="B137" s="2" t="s">
        <v>168</v>
      </c>
      <c r="C137" s="2" t="s">
        <v>136</v>
      </c>
      <c r="D137" s="2" t="s">
        <v>19</v>
      </c>
      <c r="E137" s="2" t="s">
        <v>25</v>
      </c>
      <c r="F137" s="2" t="s">
        <v>23</v>
      </c>
      <c r="H137">
        <v>68</v>
      </c>
      <c r="J137">
        <v>5</v>
      </c>
      <c r="K137">
        <v>2</v>
      </c>
      <c r="L137">
        <v>249.81</v>
      </c>
      <c r="M137">
        <v>100722</v>
      </c>
      <c r="N137" s="3">
        <f>IFERROR(MarketingData[[#This Row],[Conversions]]/MarketingData[[#This Row],[Leads]],0)</f>
        <v>0.4</v>
      </c>
      <c r="O137" s="3">
        <f t="shared" si="2"/>
        <v>402.19442776510147</v>
      </c>
      <c r="P137" s="3">
        <f>IFERROR(MarketingData[[#This Row],[Clicks]]/MarketingData[[#This Row],[Impressions]],0)</f>
        <v>0</v>
      </c>
      <c r="Q137" s="3">
        <f>IFERROR(MarketingData[[#This Row],[Spend_INR]]/MarketingData[[#This Row],[Leads]],0)</f>
        <v>49.962000000000003</v>
      </c>
    </row>
    <row r="138" spans="1:17" x14ac:dyDescent="0.35">
      <c r="A138" s="1">
        <v>46254</v>
      </c>
      <c r="B138" s="2" t="s">
        <v>169</v>
      </c>
      <c r="C138" s="2" t="s">
        <v>136</v>
      </c>
      <c r="D138" s="2" t="s">
        <v>80</v>
      </c>
      <c r="E138" s="2" t="s">
        <v>34</v>
      </c>
      <c r="F138" s="2" t="s">
        <v>28</v>
      </c>
      <c r="H138">
        <v>65</v>
      </c>
      <c r="J138">
        <v>14</v>
      </c>
      <c r="K138">
        <v>7</v>
      </c>
      <c r="L138">
        <v>349.73</v>
      </c>
      <c r="M138">
        <v>266826</v>
      </c>
      <c r="N138" s="3">
        <f>IFERROR(MarketingData[[#This Row],[Conversions]]/MarketingData[[#This Row],[Leads]],0)</f>
        <v>0.5</v>
      </c>
      <c r="O138" s="3">
        <f t="shared" si="2"/>
        <v>761.94856031795962</v>
      </c>
      <c r="P138" s="3">
        <f>IFERROR(MarketingData[[#This Row],[Clicks]]/MarketingData[[#This Row],[Impressions]],0)</f>
        <v>0</v>
      </c>
      <c r="Q138" s="3">
        <f>IFERROR(MarketingData[[#This Row],[Spend_INR]]/MarketingData[[#This Row],[Leads]],0)</f>
        <v>24.980714285714289</v>
      </c>
    </row>
    <row r="139" spans="1:17" x14ac:dyDescent="0.35">
      <c r="A139" s="1">
        <v>46254</v>
      </c>
      <c r="B139" s="2" t="s">
        <v>170</v>
      </c>
      <c r="C139" s="2" t="s">
        <v>136</v>
      </c>
      <c r="D139" s="2" t="s">
        <v>80</v>
      </c>
      <c r="E139" s="2" t="s">
        <v>16</v>
      </c>
      <c r="F139" s="2" t="s">
        <v>30</v>
      </c>
      <c r="H139">
        <v>54</v>
      </c>
      <c r="J139">
        <v>17</v>
      </c>
      <c r="K139">
        <v>8</v>
      </c>
      <c r="L139">
        <v>319.10000000000002</v>
      </c>
      <c r="M139">
        <v>367552</v>
      </c>
      <c r="N139" s="3">
        <f>IFERROR(MarketingData[[#This Row],[Conversions]]/MarketingData[[#This Row],[Leads]],0)</f>
        <v>0.47058823529411764</v>
      </c>
      <c r="O139" s="3">
        <f t="shared" si="2"/>
        <v>1150.8395487308053</v>
      </c>
      <c r="P139" s="3">
        <f>IFERROR(MarketingData[[#This Row],[Clicks]]/MarketingData[[#This Row],[Impressions]],0)</f>
        <v>0</v>
      </c>
      <c r="Q139" s="3">
        <f>IFERROR(MarketingData[[#This Row],[Spend_INR]]/MarketingData[[#This Row],[Leads]],0)</f>
        <v>18.77058823529412</v>
      </c>
    </row>
    <row r="140" spans="1:17" x14ac:dyDescent="0.35">
      <c r="A140" s="1">
        <v>46255</v>
      </c>
      <c r="B140" s="2" t="s">
        <v>171</v>
      </c>
      <c r="C140" s="2" t="s">
        <v>136</v>
      </c>
      <c r="D140" s="2" t="s">
        <v>15</v>
      </c>
      <c r="E140" s="2" t="s">
        <v>20</v>
      </c>
      <c r="F140" s="2" t="s">
        <v>28</v>
      </c>
      <c r="H140">
        <v>77</v>
      </c>
      <c r="J140">
        <v>10</v>
      </c>
      <c r="K140">
        <v>5</v>
      </c>
      <c r="L140">
        <v>251.75</v>
      </c>
      <c r="M140">
        <v>164765</v>
      </c>
      <c r="N140" s="3">
        <f>IFERROR(MarketingData[[#This Row],[Conversions]]/MarketingData[[#This Row],[Leads]],0)</f>
        <v>0.5</v>
      </c>
      <c r="O140" s="3">
        <f t="shared" si="2"/>
        <v>653.47864945382321</v>
      </c>
      <c r="P140" s="3">
        <f>IFERROR(MarketingData[[#This Row],[Clicks]]/MarketingData[[#This Row],[Impressions]],0)</f>
        <v>0</v>
      </c>
      <c r="Q140" s="3">
        <f>IFERROR(MarketingData[[#This Row],[Spend_INR]]/MarketingData[[#This Row],[Leads]],0)</f>
        <v>25.175000000000001</v>
      </c>
    </row>
    <row r="141" spans="1:17" x14ac:dyDescent="0.35">
      <c r="A141" s="1">
        <v>46255</v>
      </c>
      <c r="B141" s="2" t="s">
        <v>172</v>
      </c>
      <c r="C141" s="2" t="s">
        <v>136</v>
      </c>
      <c r="D141" s="2" t="s">
        <v>80</v>
      </c>
      <c r="E141" s="2" t="s">
        <v>25</v>
      </c>
      <c r="F141" s="2" t="s">
        <v>23</v>
      </c>
      <c r="H141">
        <v>67</v>
      </c>
      <c r="J141">
        <v>16</v>
      </c>
      <c r="K141">
        <v>6</v>
      </c>
      <c r="L141">
        <v>346.6</v>
      </c>
      <c r="M141">
        <v>201024</v>
      </c>
      <c r="N141" s="3">
        <f>IFERROR(MarketingData[[#This Row],[Conversions]]/MarketingData[[#This Row],[Leads]],0)</f>
        <v>0.375</v>
      </c>
      <c r="O141" s="3">
        <f t="shared" si="2"/>
        <v>578.98845931909977</v>
      </c>
      <c r="P141" s="3">
        <f>IFERROR(MarketingData[[#This Row],[Clicks]]/MarketingData[[#This Row],[Impressions]],0)</f>
        <v>0</v>
      </c>
      <c r="Q141" s="3">
        <f>IFERROR(MarketingData[[#This Row],[Spend_INR]]/MarketingData[[#This Row],[Leads]],0)</f>
        <v>21.662500000000001</v>
      </c>
    </row>
    <row r="142" spans="1:17" x14ac:dyDescent="0.35">
      <c r="A142" s="1">
        <v>46256</v>
      </c>
      <c r="B142" s="2" t="s">
        <v>173</v>
      </c>
      <c r="C142" s="2" t="s">
        <v>136</v>
      </c>
      <c r="D142" s="2" t="s">
        <v>19</v>
      </c>
      <c r="E142" s="2" t="s">
        <v>34</v>
      </c>
      <c r="F142" s="2" t="s">
        <v>28</v>
      </c>
      <c r="H142">
        <v>46</v>
      </c>
      <c r="J142">
        <v>21</v>
      </c>
      <c r="K142">
        <v>8</v>
      </c>
      <c r="L142">
        <v>231.89</v>
      </c>
      <c r="M142">
        <v>501408</v>
      </c>
      <c r="N142" s="3">
        <f>IFERROR(MarketingData[[#This Row],[Conversions]]/MarketingData[[#This Row],[Leads]],0)</f>
        <v>0.38095238095238093</v>
      </c>
      <c r="O142" s="3">
        <f t="shared" si="2"/>
        <v>2161.266591918582</v>
      </c>
      <c r="P142" s="3">
        <f>IFERROR(MarketingData[[#This Row],[Clicks]]/MarketingData[[#This Row],[Impressions]],0)</f>
        <v>0</v>
      </c>
      <c r="Q142" s="3">
        <f>IFERROR(MarketingData[[#This Row],[Spend_INR]]/MarketingData[[#This Row],[Leads]],0)</f>
        <v>11.042380952380952</v>
      </c>
    </row>
    <row r="143" spans="1:17" x14ac:dyDescent="0.35">
      <c r="A143" s="1">
        <v>46256</v>
      </c>
      <c r="B143" s="2" t="s">
        <v>174</v>
      </c>
      <c r="C143" s="2" t="s">
        <v>136</v>
      </c>
      <c r="D143" s="2" t="s">
        <v>15</v>
      </c>
      <c r="E143" s="2" t="s">
        <v>25</v>
      </c>
      <c r="F143" s="2" t="s">
        <v>28</v>
      </c>
      <c r="H143">
        <v>61</v>
      </c>
      <c r="J143">
        <v>9</v>
      </c>
      <c r="K143">
        <v>5</v>
      </c>
      <c r="L143">
        <v>306.05</v>
      </c>
      <c r="M143">
        <v>334645</v>
      </c>
      <c r="N143" s="3">
        <f>IFERROR(MarketingData[[#This Row],[Conversions]]/MarketingData[[#This Row],[Leads]],0)</f>
        <v>0.55555555555555558</v>
      </c>
      <c r="O143" s="3">
        <f t="shared" si="2"/>
        <v>1092.4324456788106</v>
      </c>
      <c r="P143" s="3">
        <f>IFERROR(MarketingData[[#This Row],[Clicks]]/MarketingData[[#This Row],[Impressions]],0)</f>
        <v>0</v>
      </c>
      <c r="Q143" s="3">
        <f>IFERROR(MarketingData[[#This Row],[Spend_INR]]/MarketingData[[#This Row],[Leads]],0)</f>
        <v>34.00555555555556</v>
      </c>
    </row>
    <row r="144" spans="1:17" x14ac:dyDescent="0.35">
      <c r="A144" s="1">
        <v>46258</v>
      </c>
      <c r="B144" s="2" t="s">
        <v>175</v>
      </c>
      <c r="C144" s="2" t="s">
        <v>136</v>
      </c>
      <c r="D144" s="2" t="s">
        <v>19</v>
      </c>
      <c r="E144" s="2" t="s">
        <v>16</v>
      </c>
      <c r="F144" s="2" t="s">
        <v>28</v>
      </c>
      <c r="H144">
        <v>79</v>
      </c>
      <c r="J144">
        <v>13</v>
      </c>
      <c r="K144">
        <v>3</v>
      </c>
      <c r="L144">
        <v>182.93</v>
      </c>
      <c r="M144">
        <v>138435</v>
      </c>
      <c r="N144" s="3">
        <f>IFERROR(MarketingData[[#This Row],[Conversions]]/MarketingData[[#This Row],[Leads]],0)</f>
        <v>0.23076923076923078</v>
      </c>
      <c r="O144" s="3">
        <f t="shared" si="2"/>
        <v>755.76488274203246</v>
      </c>
      <c r="P144" s="3">
        <f>IFERROR(MarketingData[[#This Row],[Clicks]]/MarketingData[[#This Row],[Impressions]],0)</f>
        <v>0</v>
      </c>
      <c r="Q144" s="3">
        <f>IFERROR(MarketingData[[#This Row],[Spend_INR]]/MarketingData[[#This Row],[Leads]],0)</f>
        <v>14.071538461538463</v>
      </c>
    </row>
    <row r="145" spans="1:17" x14ac:dyDescent="0.35">
      <c r="A145" s="1">
        <v>46258</v>
      </c>
      <c r="B145" s="2" t="s">
        <v>176</v>
      </c>
      <c r="C145" s="2" t="s">
        <v>136</v>
      </c>
      <c r="D145" s="2" t="s">
        <v>80</v>
      </c>
      <c r="E145" s="2" t="s">
        <v>16</v>
      </c>
      <c r="F145" s="2" t="s">
        <v>30</v>
      </c>
      <c r="H145">
        <v>60</v>
      </c>
      <c r="J145">
        <v>11</v>
      </c>
      <c r="K145">
        <v>5</v>
      </c>
      <c r="L145">
        <v>260.17</v>
      </c>
      <c r="M145">
        <v>166015</v>
      </c>
      <c r="N145" s="3">
        <f>IFERROR(MarketingData[[#This Row],[Conversions]]/MarketingData[[#This Row],[Leads]],0)</f>
        <v>0.45454545454545453</v>
      </c>
      <c r="O145" s="3">
        <f t="shared" si="2"/>
        <v>637.10201022408421</v>
      </c>
      <c r="P145" s="3">
        <f>IFERROR(MarketingData[[#This Row],[Clicks]]/MarketingData[[#This Row],[Impressions]],0)</f>
        <v>0</v>
      </c>
      <c r="Q145" s="3">
        <f>IFERROR(MarketingData[[#This Row],[Spend_INR]]/MarketingData[[#This Row],[Leads]],0)</f>
        <v>23.651818181818182</v>
      </c>
    </row>
    <row r="146" spans="1:17" x14ac:dyDescent="0.35">
      <c r="A146" s="1">
        <v>46259</v>
      </c>
      <c r="B146" s="2" t="s">
        <v>177</v>
      </c>
      <c r="C146" s="2" t="s">
        <v>136</v>
      </c>
      <c r="D146" s="2" t="s">
        <v>80</v>
      </c>
      <c r="E146" s="2" t="s">
        <v>27</v>
      </c>
      <c r="F146" s="2" t="s">
        <v>17</v>
      </c>
      <c r="H146">
        <v>73</v>
      </c>
      <c r="J146">
        <v>10</v>
      </c>
      <c r="K146">
        <v>5</v>
      </c>
      <c r="L146">
        <v>294.13</v>
      </c>
      <c r="M146">
        <v>323290</v>
      </c>
      <c r="N146" s="3">
        <f>IFERROR(MarketingData[[#This Row],[Conversions]]/MarketingData[[#This Row],[Leads]],0)</f>
        <v>0.5</v>
      </c>
      <c r="O146" s="3">
        <f t="shared" si="2"/>
        <v>1098.1398361268828</v>
      </c>
      <c r="P146" s="3">
        <f>IFERROR(MarketingData[[#This Row],[Clicks]]/MarketingData[[#This Row],[Impressions]],0)</f>
        <v>0</v>
      </c>
      <c r="Q146" s="3">
        <f>IFERROR(MarketingData[[#This Row],[Spend_INR]]/MarketingData[[#This Row],[Leads]],0)</f>
        <v>29.413</v>
      </c>
    </row>
    <row r="147" spans="1:17" x14ac:dyDescent="0.35">
      <c r="A147" s="1">
        <v>46259</v>
      </c>
      <c r="B147" s="2" t="s">
        <v>178</v>
      </c>
      <c r="C147" s="2" t="s">
        <v>136</v>
      </c>
      <c r="D147" s="2" t="s">
        <v>137</v>
      </c>
      <c r="E147" s="2" t="s">
        <v>25</v>
      </c>
      <c r="F147" s="2" t="s">
        <v>23</v>
      </c>
      <c r="H147">
        <v>66</v>
      </c>
      <c r="J147">
        <v>13</v>
      </c>
      <c r="K147">
        <v>6</v>
      </c>
      <c r="L147">
        <v>303.39</v>
      </c>
      <c r="M147">
        <v>313806</v>
      </c>
      <c r="N147" s="3">
        <f>IFERROR(MarketingData[[#This Row],[Conversions]]/MarketingData[[#This Row],[Leads]],0)</f>
        <v>0.46153846153846156</v>
      </c>
      <c r="O147" s="3">
        <f t="shared" si="2"/>
        <v>1033.3320478591911</v>
      </c>
      <c r="P147" s="3">
        <f>IFERROR(MarketingData[[#This Row],[Clicks]]/MarketingData[[#This Row],[Impressions]],0)</f>
        <v>0</v>
      </c>
      <c r="Q147" s="3">
        <f>IFERROR(MarketingData[[#This Row],[Spend_INR]]/MarketingData[[#This Row],[Leads]],0)</f>
        <v>23.337692307692308</v>
      </c>
    </row>
    <row r="148" spans="1:17" x14ac:dyDescent="0.35">
      <c r="A148" s="1">
        <v>46260</v>
      </c>
      <c r="B148" s="2" t="s">
        <v>179</v>
      </c>
      <c r="C148" s="2" t="s">
        <v>136</v>
      </c>
      <c r="D148" s="2" t="s">
        <v>137</v>
      </c>
      <c r="E148" s="2" t="s">
        <v>20</v>
      </c>
      <c r="F148" s="2" t="s">
        <v>21</v>
      </c>
      <c r="H148">
        <v>57</v>
      </c>
      <c r="J148">
        <v>26</v>
      </c>
      <c r="K148">
        <v>9</v>
      </c>
      <c r="L148">
        <v>240.71</v>
      </c>
      <c r="M148">
        <v>260334</v>
      </c>
      <c r="N148" s="3">
        <f>IFERROR(MarketingData[[#This Row],[Conversions]]/MarketingData[[#This Row],[Leads]],0)</f>
        <v>0.34615384615384615</v>
      </c>
      <c r="O148" s="3">
        <f t="shared" si="2"/>
        <v>1080.5254871006605</v>
      </c>
      <c r="P148" s="3">
        <f>IFERROR(MarketingData[[#This Row],[Clicks]]/MarketingData[[#This Row],[Impressions]],0)</f>
        <v>0</v>
      </c>
      <c r="Q148" s="3">
        <f>IFERROR(MarketingData[[#This Row],[Spend_INR]]/MarketingData[[#This Row],[Leads]],0)</f>
        <v>9.2580769230769242</v>
      </c>
    </row>
    <row r="149" spans="1:17" x14ac:dyDescent="0.35">
      <c r="A149" s="1">
        <v>46260</v>
      </c>
      <c r="B149" s="2" t="s">
        <v>180</v>
      </c>
      <c r="C149" s="2" t="s">
        <v>136</v>
      </c>
      <c r="D149" s="2" t="s">
        <v>19</v>
      </c>
      <c r="E149" s="2" t="s">
        <v>57</v>
      </c>
      <c r="F149" s="2" t="s">
        <v>28</v>
      </c>
      <c r="H149">
        <v>53</v>
      </c>
      <c r="J149">
        <v>15</v>
      </c>
      <c r="K149">
        <v>8</v>
      </c>
      <c r="L149">
        <v>213.86</v>
      </c>
      <c r="M149">
        <v>381072</v>
      </c>
      <c r="N149" s="3">
        <f>IFERROR(MarketingData[[#This Row],[Conversions]]/MarketingData[[#This Row],[Leads]],0)</f>
        <v>0.53333333333333333</v>
      </c>
      <c r="O149" s="3">
        <f t="shared" si="2"/>
        <v>1780.8759936406996</v>
      </c>
      <c r="P149" s="3">
        <f>IFERROR(MarketingData[[#This Row],[Clicks]]/MarketingData[[#This Row],[Impressions]],0)</f>
        <v>0</v>
      </c>
      <c r="Q149" s="3">
        <f>IFERROR(MarketingData[[#This Row],[Spend_INR]]/MarketingData[[#This Row],[Leads]],0)</f>
        <v>14.257333333333333</v>
      </c>
    </row>
    <row r="150" spans="1:17" x14ac:dyDescent="0.35">
      <c r="A150" s="1">
        <v>46261</v>
      </c>
      <c r="B150" s="2" t="s">
        <v>181</v>
      </c>
      <c r="C150" s="2" t="s">
        <v>136</v>
      </c>
      <c r="D150" s="2" t="s">
        <v>137</v>
      </c>
      <c r="E150" s="2" t="s">
        <v>34</v>
      </c>
      <c r="F150" s="2" t="s">
        <v>30</v>
      </c>
      <c r="H150">
        <v>80</v>
      </c>
      <c r="J150">
        <v>8</v>
      </c>
      <c r="K150">
        <v>2</v>
      </c>
      <c r="L150">
        <v>199.58</v>
      </c>
      <c r="M150">
        <v>62688</v>
      </c>
      <c r="N150" s="3">
        <f>IFERROR(MarketingData[[#This Row],[Conversions]]/MarketingData[[#This Row],[Leads]],0)</f>
        <v>0.25</v>
      </c>
      <c r="O150" s="3">
        <f t="shared" si="2"/>
        <v>313.09960917927646</v>
      </c>
      <c r="P150" s="3">
        <f>IFERROR(MarketingData[[#This Row],[Clicks]]/MarketingData[[#This Row],[Impressions]],0)</f>
        <v>0</v>
      </c>
      <c r="Q150" s="3">
        <f>IFERROR(MarketingData[[#This Row],[Spend_INR]]/MarketingData[[#This Row],[Leads]],0)</f>
        <v>24.947500000000002</v>
      </c>
    </row>
    <row r="151" spans="1:17" x14ac:dyDescent="0.35">
      <c r="A151" s="1">
        <v>46261</v>
      </c>
      <c r="B151" s="2" t="s">
        <v>182</v>
      </c>
      <c r="C151" s="2" t="s">
        <v>136</v>
      </c>
      <c r="D151" s="2" t="s">
        <v>137</v>
      </c>
      <c r="E151" s="2" t="s">
        <v>57</v>
      </c>
      <c r="F151" s="2" t="s">
        <v>17</v>
      </c>
      <c r="H151">
        <v>63</v>
      </c>
      <c r="J151">
        <v>23</v>
      </c>
      <c r="K151">
        <v>11</v>
      </c>
      <c r="L151">
        <v>187.97</v>
      </c>
      <c r="M151">
        <v>389862</v>
      </c>
      <c r="N151" s="3">
        <f>IFERROR(MarketingData[[#This Row],[Conversions]]/MarketingData[[#This Row],[Leads]],0)</f>
        <v>0.47826086956521741</v>
      </c>
      <c r="O151" s="3">
        <f t="shared" si="2"/>
        <v>2073.0650103739958</v>
      </c>
      <c r="P151" s="3">
        <f>IFERROR(MarketingData[[#This Row],[Clicks]]/MarketingData[[#This Row],[Impressions]],0)</f>
        <v>0</v>
      </c>
      <c r="Q151" s="3">
        <f>IFERROR(MarketingData[[#This Row],[Spend_INR]]/MarketingData[[#This Row],[Leads]],0)</f>
        <v>8.1726086956521744</v>
      </c>
    </row>
    <row r="152" spans="1:17" x14ac:dyDescent="0.35">
      <c r="A152" s="1">
        <v>46262</v>
      </c>
      <c r="B152" s="2" t="s">
        <v>183</v>
      </c>
      <c r="C152" s="2" t="s">
        <v>136</v>
      </c>
      <c r="D152" s="2" t="s">
        <v>80</v>
      </c>
      <c r="E152" s="2" t="s">
        <v>27</v>
      </c>
      <c r="F152" s="2" t="s">
        <v>23</v>
      </c>
      <c r="H152">
        <v>55</v>
      </c>
      <c r="J152">
        <v>21</v>
      </c>
      <c r="K152">
        <v>8</v>
      </c>
      <c r="L152">
        <v>198.15</v>
      </c>
      <c r="M152">
        <v>505840</v>
      </c>
      <c r="N152" s="3">
        <f>IFERROR(MarketingData[[#This Row],[Conversions]]/MarketingData[[#This Row],[Leads]],0)</f>
        <v>0.38095238095238093</v>
      </c>
      <c r="O152" s="3">
        <f t="shared" si="2"/>
        <v>2551.8135251072417</v>
      </c>
      <c r="P152" s="3">
        <f>IFERROR(MarketingData[[#This Row],[Clicks]]/MarketingData[[#This Row],[Impressions]],0)</f>
        <v>0</v>
      </c>
      <c r="Q152" s="3">
        <f>IFERROR(MarketingData[[#This Row],[Spend_INR]]/MarketingData[[#This Row],[Leads]],0)</f>
        <v>9.4357142857142868</v>
      </c>
    </row>
    <row r="153" spans="1:17" x14ac:dyDescent="0.35">
      <c r="A153" s="1">
        <v>46262</v>
      </c>
      <c r="B153" s="2" t="s">
        <v>184</v>
      </c>
      <c r="C153" s="2" t="s">
        <v>136</v>
      </c>
      <c r="D153" s="2" t="s">
        <v>19</v>
      </c>
      <c r="E153" s="2" t="s">
        <v>57</v>
      </c>
      <c r="F153" s="2" t="s">
        <v>28</v>
      </c>
      <c r="H153">
        <v>78</v>
      </c>
      <c r="J153">
        <v>20</v>
      </c>
      <c r="K153">
        <v>6</v>
      </c>
      <c r="L153">
        <v>151.63999999999999</v>
      </c>
      <c r="M153">
        <v>192264</v>
      </c>
      <c r="N153" s="3">
        <f>IFERROR(MarketingData[[#This Row],[Conversions]]/MarketingData[[#This Row],[Leads]],0)</f>
        <v>0.3</v>
      </c>
      <c r="O153" s="3">
        <f t="shared" si="2"/>
        <v>1266.8976523344763</v>
      </c>
      <c r="P153" s="3">
        <f>IFERROR(MarketingData[[#This Row],[Clicks]]/MarketingData[[#This Row],[Impressions]],0)</f>
        <v>0</v>
      </c>
      <c r="Q153" s="3">
        <f>IFERROR(MarketingData[[#This Row],[Spend_INR]]/MarketingData[[#This Row],[Leads]],0)</f>
        <v>7.581999999999999</v>
      </c>
    </row>
    <row r="154" spans="1:17" x14ac:dyDescent="0.35">
      <c r="A154" s="1">
        <v>46263</v>
      </c>
      <c r="B154" s="2" t="s">
        <v>185</v>
      </c>
      <c r="C154" s="2" t="s">
        <v>136</v>
      </c>
      <c r="D154" s="2" t="s">
        <v>80</v>
      </c>
      <c r="E154" s="2" t="s">
        <v>25</v>
      </c>
      <c r="F154" s="2" t="s">
        <v>30</v>
      </c>
      <c r="H154">
        <v>63</v>
      </c>
      <c r="J154">
        <v>11</v>
      </c>
      <c r="K154">
        <v>2</v>
      </c>
      <c r="L154">
        <v>262.36</v>
      </c>
      <c r="M154">
        <v>97516</v>
      </c>
      <c r="N154" s="3">
        <f>IFERROR(MarketingData[[#This Row],[Conversions]]/MarketingData[[#This Row],[Leads]],0)</f>
        <v>0.18181818181818182</v>
      </c>
      <c r="O154" s="3">
        <f t="shared" si="2"/>
        <v>370.68775728007319</v>
      </c>
      <c r="P154" s="3">
        <f>IFERROR(MarketingData[[#This Row],[Clicks]]/MarketingData[[#This Row],[Impressions]],0)</f>
        <v>0</v>
      </c>
      <c r="Q154" s="3">
        <f>IFERROR(MarketingData[[#This Row],[Spend_INR]]/MarketingData[[#This Row],[Leads]],0)</f>
        <v>23.850909090909092</v>
      </c>
    </row>
    <row r="155" spans="1:17" x14ac:dyDescent="0.35">
      <c r="A155" s="1">
        <v>46263</v>
      </c>
      <c r="B155" s="2" t="s">
        <v>186</v>
      </c>
      <c r="C155" s="2" t="s">
        <v>136</v>
      </c>
      <c r="D155" s="2" t="s">
        <v>19</v>
      </c>
      <c r="E155" s="2" t="s">
        <v>57</v>
      </c>
      <c r="F155" s="2" t="s">
        <v>30</v>
      </c>
      <c r="H155">
        <v>64</v>
      </c>
      <c r="J155">
        <v>24</v>
      </c>
      <c r="K155">
        <v>11</v>
      </c>
      <c r="L155">
        <v>173.76</v>
      </c>
      <c r="M155">
        <v>344696</v>
      </c>
      <c r="N155" s="3">
        <f>IFERROR(MarketingData[[#This Row],[Conversions]]/MarketingData[[#This Row],[Leads]],0)</f>
        <v>0.45833333333333331</v>
      </c>
      <c r="O155" s="3">
        <f t="shared" si="2"/>
        <v>1982.7476979742173</v>
      </c>
      <c r="P155" s="3">
        <f>IFERROR(MarketingData[[#This Row],[Clicks]]/MarketingData[[#This Row],[Impressions]],0)</f>
        <v>0</v>
      </c>
      <c r="Q155" s="3">
        <f>IFERROR(MarketingData[[#This Row],[Spend_INR]]/MarketingData[[#This Row],[Leads]],0)</f>
        <v>7.2399999999999993</v>
      </c>
    </row>
    <row r="156" spans="1:17" x14ac:dyDescent="0.35">
      <c r="A156" s="1">
        <v>46265</v>
      </c>
      <c r="B156" s="2" t="s">
        <v>187</v>
      </c>
      <c r="C156" s="2" t="s">
        <v>136</v>
      </c>
      <c r="D156" s="2" t="s">
        <v>137</v>
      </c>
      <c r="E156" s="2" t="s">
        <v>20</v>
      </c>
      <c r="F156" s="2" t="s">
        <v>30</v>
      </c>
      <c r="H156">
        <v>66</v>
      </c>
      <c r="J156">
        <v>21</v>
      </c>
      <c r="K156">
        <v>8</v>
      </c>
      <c r="L156">
        <v>158.05000000000001</v>
      </c>
      <c r="M156">
        <v>220400</v>
      </c>
      <c r="N156" s="3">
        <f>IFERROR(MarketingData[[#This Row],[Conversions]]/MarketingData[[#This Row],[Leads]],0)</f>
        <v>0.38095238095238093</v>
      </c>
      <c r="O156" s="3">
        <f t="shared" si="2"/>
        <v>1393.4954128440368</v>
      </c>
      <c r="P156" s="3">
        <f>IFERROR(MarketingData[[#This Row],[Clicks]]/MarketingData[[#This Row],[Impressions]],0)</f>
        <v>0</v>
      </c>
      <c r="Q156" s="3">
        <f>IFERROR(MarketingData[[#This Row],[Spend_INR]]/MarketingData[[#This Row],[Leads]],0)</f>
        <v>7.526190476190477</v>
      </c>
    </row>
    <row r="157" spans="1:17" x14ac:dyDescent="0.35">
      <c r="A157" s="1">
        <v>46265</v>
      </c>
      <c r="B157" s="2" t="s">
        <v>188</v>
      </c>
      <c r="C157" s="2" t="s">
        <v>136</v>
      </c>
      <c r="D157" s="2" t="s">
        <v>19</v>
      </c>
      <c r="E157" s="2" t="s">
        <v>25</v>
      </c>
      <c r="F157" s="2" t="s">
        <v>30</v>
      </c>
      <c r="H157">
        <v>52</v>
      </c>
      <c r="J157">
        <v>15</v>
      </c>
      <c r="K157">
        <v>9</v>
      </c>
      <c r="L157">
        <v>213.71</v>
      </c>
      <c r="M157">
        <v>456768</v>
      </c>
      <c r="N157" s="3">
        <f>IFERROR(MarketingData[[#This Row],[Conversions]]/MarketingData[[#This Row],[Leads]],0)</f>
        <v>0.6</v>
      </c>
      <c r="O157" s="3">
        <f t="shared" si="2"/>
        <v>2136.3262832810815</v>
      </c>
      <c r="P157" s="3">
        <f>IFERROR(MarketingData[[#This Row],[Clicks]]/MarketingData[[#This Row],[Impressions]],0)</f>
        <v>0</v>
      </c>
      <c r="Q157" s="3">
        <f>IFERROR(MarketingData[[#This Row],[Spend_INR]]/MarketingData[[#This Row],[Leads]],0)</f>
        <v>14.247333333333334</v>
      </c>
    </row>
    <row r="158" spans="1:17" x14ac:dyDescent="0.35">
      <c r="A158" s="1">
        <v>46235</v>
      </c>
      <c r="B158" s="2" t="s">
        <v>189</v>
      </c>
      <c r="C158" s="2" t="s">
        <v>137</v>
      </c>
      <c r="D158" s="2" t="s">
        <v>190</v>
      </c>
      <c r="E158" s="2" t="s">
        <v>27</v>
      </c>
      <c r="F158" s="2" t="s">
        <v>23</v>
      </c>
      <c r="G158">
        <v>4955</v>
      </c>
      <c r="H158">
        <v>53</v>
      </c>
      <c r="I158">
        <v>44</v>
      </c>
      <c r="J158">
        <v>3</v>
      </c>
      <c r="K158">
        <v>1</v>
      </c>
      <c r="L158">
        <v>514.12</v>
      </c>
      <c r="M158">
        <v>52298</v>
      </c>
      <c r="N158" s="3">
        <f>IFERROR(MarketingData[[#This Row],[Conversions]]/MarketingData[[#This Row],[Leads]],0)</f>
        <v>0.33333333333333331</v>
      </c>
      <c r="O158" s="3">
        <f t="shared" si="2"/>
        <v>100.7233330739905</v>
      </c>
      <c r="P158" s="3">
        <f>IFERROR(MarketingData[[#This Row],[Clicks]]/MarketingData[[#This Row],[Impressions]],0)</f>
        <v>1.0696266397578204E-2</v>
      </c>
      <c r="Q158" s="3">
        <f>IFERROR(MarketingData[[#This Row],[Spend_INR]]/MarketingData[[#This Row],[Leads]],0)</f>
        <v>171.37333333333333</v>
      </c>
    </row>
    <row r="159" spans="1:17" x14ac:dyDescent="0.35">
      <c r="A159" s="1">
        <v>46235</v>
      </c>
      <c r="B159" s="2" t="s">
        <v>191</v>
      </c>
      <c r="C159" s="2" t="s">
        <v>137</v>
      </c>
      <c r="D159" s="2" t="s">
        <v>190</v>
      </c>
      <c r="E159" s="2" t="s">
        <v>16</v>
      </c>
      <c r="F159" s="2" t="s">
        <v>28</v>
      </c>
      <c r="G159">
        <v>6435</v>
      </c>
      <c r="H159">
        <v>34</v>
      </c>
      <c r="I159">
        <v>39</v>
      </c>
      <c r="J159">
        <v>11</v>
      </c>
      <c r="K159">
        <v>5</v>
      </c>
      <c r="L159">
        <v>415.78</v>
      </c>
      <c r="M159">
        <v>249580</v>
      </c>
      <c r="N159" s="3">
        <f>IFERROR(MarketingData[[#This Row],[Conversions]]/MarketingData[[#This Row],[Leads]],0)</f>
        <v>0.45454545454545453</v>
      </c>
      <c r="O159" s="3">
        <f t="shared" si="2"/>
        <v>599.26937322622541</v>
      </c>
      <c r="P159" s="3">
        <f>IFERROR(MarketingData[[#This Row],[Clicks]]/MarketingData[[#This Row],[Impressions]],0)</f>
        <v>5.2836052836052836E-3</v>
      </c>
      <c r="Q159" s="3">
        <f>IFERROR(MarketingData[[#This Row],[Spend_INR]]/MarketingData[[#This Row],[Leads]],0)</f>
        <v>37.798181818181817</v>
      </c>
    </row>
    <row r="160" spans="1:17" x14ac:dyDescent="0.35">
      <c r="A160" s="1">
        <v>46237</v>
      </c>
      <c r="B160" s="2" t="s">
        <v>192</v>
      </c>
      <c r="C160" s="2" t="s">
        <v>137</v>
      </c>
      <c r="D160" s="2" t="s">
        <v>190</v>
      </c>
      <c r="E160" s="2" t="s">
        <v>57</v>
      </c>
      <c r="F160" s="2" t="s">
        <v>23</v>
      </c>
      <c r="G160">
        <v>5069</v>
      </c>
      <c r="H160">
        <v>86</v>
      </c>
      <c r="I160">
        <v>41</v>
      </c>
      <c r="J160">
        <v>5</v>
      </c>
      <c r="K160">
        <v>2</v>
      </c>
      <c r="L160">
        <v>420.39</v>
      </c>
      <c r="M160">
        <v>115774</v>
      </c>
      <c r="N160" s="3">
        <f>IFERROR(MarketingData[[#This Row],[Conversions]]/MarketingData[[#This Row],[Leads]],0)</f>
        <v>0.4</v>
      </c>
      <c r="O160" s="3">
        <f t="shared" si="2"/>
        <v>274.396655486572</v>
      </c>
      <c r="P160" s="3">
        <f>IFERROR(MarketingData[[#This Row],[Clicks]]/MarketingData[[#This Row],[Impressions]],0)</f>
        <v>1.6965870980469519E-2</v>
      </c>
      <c r="Q160" s="3">
        <f>IFERROR(MarketingData[[#This Row],[Spend_INR]]/MarketingData[[#This Row],[Leads]],0)</f>
        <v>84.078000000000003</v>
      </c>
    </row>
    <row r="161" spans="1:17" x14ac:dyDescent="0.35">
      <c r="A161" s="1">
        <v>46237</v>
      </c>
      <c r="B161" s="2" t="s">
        <v>193</v>
      </c>
      <c r="C161" s="2" t="s">
        <v>137</v>
      </c>
      <c r="D161" s="2" t="s">
        <v>190</v>
      </c>
      <c r="E161" s="2" t="s">
        <v>25</v>
      </c>
      <c r="F161" s="2" t="s">
        <v>30</v>
      </c>
      <c r="G161">
        <v>6418</v>
      </c>
      <c r="H161">
        <v>53</v>
      </c>
      <c r="I161">
        <v>76</v>
      </c>
      <c r="J161">
        <v>9</v>
      </c>
      <c r="K161">
        <v>3</v>
      </c>
      <c r="L161">
        <v>417.32</v>
      </c>
      <c r="M161">
        <v>179817</v>
      </c>
      <c r="N161" s="3">
        <f>IFERROR(MarketingData[[#This Row],[Conversions]]/MarketingData[[#This Row],[Leads]],0)</f>
        <v>0.33333333333333331</v>
      </c>
      <c r="O161" s="3">
        <f t="shared" si="2"/>
        <v>429.88517205022526</v>
      </c>
      <c r="P161" s="3">
        <f>IFERROR(MarketingData[[#This Row],[Clicks]]/MarketingData[[#This Row],[Impressions]],0)</f>
        <v>8.2580243066375826E-3</v>
      </c>
      <c r="Q161" s="3">
        <f>IFERROR(MarketingData[[#This Row],[Spend_INR]]/MarketingData[[#This Row],[Leads]],0)</f>
        <v>46.36888888888889</v>
      </c>
    </row>
    <row r="162" spans="1:17" x14ac:dyDescent="0.35">
      <c r="A162" s="1">
        <v>46238</v>
      </c>
      <c r="B162" s="2" t="s">
        <v>194</v>
      </c>
      <c r="C162" s="2" t="s">
        <v>137</v>
      </c>
      <c r="D162" s="2" t="s">
        <v>190</v>
      </c>
      <c r="E162" s="2" t="s">
        <v>16</v>
      </c>
      <c r="F162" s="2" t="s">
        <v>28</v>
      </c>
      <c r="G162">
        <v>4785</v>
      </c>
      <c r="H162">
        <v>82</v>
      </c>
      <c r="I162">
        <v>55</v>
      </c>
      <c r="J162">
        <v>7</v>
      </c>
      <c r="K162">
        <v>2</v>
      </c>
      <c r="L162">
        <v>447.56</v>
      </c>
      <c r="M162">
        <v>89008</v>
      </c>
      <c r="N162" s="3">
        <f>IFERROR(MarketingData[[#This Row],[Conversions]]/MarketingData[[#This Row],[Leads]],0)</f>
        <v>0.2857142857142857</v>
      </c>
      <c r="O162" s="3">
        <f t="shared" si="2"/>
        <v>197.87389400303871</v>
      </c>
      <c r="P162" s="3">
        <f>IFERROR(MarketingData[[#This Row],[Clicks]]/MarketingData[[#This Row],[Impressions]],0)</f>
        <v>1.7136886102403343E-2</v>
      </c>
      <c r="Q162" s="3">
        <f>IFERROR(MarketingData[[#This Row],[Spend_INR]]/MarketingData[[#This Row],[Leads]],0)</f>
        <v>63.937142857142859</v>
      </c>
    </row>
    <row r="163" spans="1:17" x14ac:dyDescent="0.35">
      <c r="A163" s="1">
        <v>46238</v>
      </c>
      <c r="B163" s="2" t="s">
        <v>195</v>
      </c>
      <c r="C163" s="2" t="s">
        <v>137</v>
      </c>
      <c r="D163" s="2" t="s">
        <v>190</v>
      </c>
      <c r="E163" s="2" t="s">
        <v>20</v>
      </c>
      <c r="F163" s="2" t="s">
        <v>30</v>
      </c>
      <c r="G163">
        <v>4740</v>
      </c>
      <c r="H163">
        <v>30</v>
      </c>
      <c r="I163">
        <v>59</v>
      </c>
      <c r="J163">
        <v>4</v>
      </c>
      <c r="K163">
        <v>2</v>
      </c>
      <c r="L163">
        <v>454.32</v>
      </c>
      <c r="M163">
        <v>101712</v>
      </c>
      <c r="N163" s="3">
        <f>IFERROR(MarketingData[[#This Row],[Conversions]]/MarketingData[[#This Row],[Leads]],0)</f>
        <v>0.5</v>
      </c>
      <c r="O163" s="3">
        <f t="shared" si="2"/>
        <v>222.87744321183305</v>
      </c>
      <c r="P163" s="3">
        <f>IFERROR(MarketingData[[#This Row],[Clicks]]/MarketingData[[#This Row],[Impressions]],0)</f>
        <v>6.3291139240506328E-3</v>
      </c>
      <c r="Q163" s="3">
        <f>IFERROR(MarketingData[[#This Row],[Spend_INR]]/MarketingData[[#This Row],[Leads]],0)</f>
        <v>113.58</v>
      </c>
    </row>
    <row r="164" spans="1:17" x14ac:dyDescent="0.35">
      <c r="A164" s="1">
        <v>46239</v>
      </c>
      <c r="B164" s="2" t="s">
        <v>196</v>
      </c>
      <c r="C164" s="2" t="s">
        <v>137</v>
      </c>
      <c r="D164" s="2" t="s">
        <v>190</v>
      </c>
      <c r="E164" s="2" t="s">
        <v>16</v>
      </c>
      <c r="F164" s="2" t="s">
        <v>30</v>
      </c>
      <c r="G164">
        <v>4600</v>
      </c>
      <c r="H164">
        <v>98</v>
      </c>
      <c r="I164">
        <v>45</v>
      </c>
      <c r="J164">
        <v>10</v>
      </c>
      <c r="K164">
        <v>3</v>
      </c>
      <c r="L164">
        <v>531.07000000000005</v>
      </c>
      <c r="M164">
        <v>128304</v>
      </c>
      <c r="N164" s="3">
        <f>IFERROR(MarketingData[[#This Row],[Conversions]]/MarketingData[[#This Row],[Leads]],0)</f>
        <v>0.3</v>
      </c>
      <c r="O164" s="3">
        <f t="shared" si="2"/>
        <v>240.59526992675163</v>
      </c>
      <c r="P164" s="3">
        <f>IFERROR(MarketingData[[#This Row],[Clicks]]/MarketingData[[#This Row],[Impressions]],0)</f>
        <v>2.1304347826086957E-2</v>
      </c>
      <c r="Q164" s="3">
        <f>IFERROR(MarketingData[[#This Row],[Spend_INR]]/MarketingData[[#This Row],[Leads]],0)</f>
        <v>53.107000000000006</v>
      </c>
    </row>
    <row r="165" spans="1:17" x14ac:dyDescent="0.35">
      <c r="A165" s="1">
        <v>46239</v>
      </c>
      <c r="B165" s="2" t="s">
        <v>197</v>
      </c>
      <c r="C165" s="2" t="s">
        <v>137</v>
      </c>
      <c r="D165" s="2" t="s">
        <v>190</v>
      </c>
      <c r="E165" s="2" t="s">
        <v>57</v>
      </c>
      <c r="F165" s="2" t="s">
        <v>23</v>
      </c>
      <c r="G165">
        <v>6850</v>
      </c>
      <c r="H165">
        <v>37</v>
      </c>
      <c r="I165">
        <v>15</v>
      </c>
      <c r="J165">
        <v>13</v>
      </c>
      <c r="K165">
        <v>4</v>
      </c>
      <c r="L165">
        <v>369.02</v>
      </c>
      <c r="M165">
        <v>186584</v>
      </c>
      <c r="N165" s="3">
        <f>IFERROR(MarketingData[[#This Row],[Conversions]]/MarketingData[[#This Row],[Leads]],0)</f>
        <v>0.30769230769230771</v>
      </c>
      <c r="O165" s="3">
        <f t="shared" si="2"/>
        <v>504.62029158311208</v>
      </c>
      <c r="P165" s="3">
        <f>IFERROR(MarketingData[[#This Row],[Clicks]]/MarketingData[[#This Row],[Impressions]],0)</f>
        <v>5.4014598540145986E-3</v>
      </c>
      <c r="Q165" s="3">
        <f>IFERROR(MarketingData[[#This Row],[Spend_INR]]/MarketingData[[#This Row],[Leads]],0)</f>
        <v>28.386153846153846</v>
      </c>
    </row>
    <row r="166" spans="1:17" x14ac:dyDescent="0.35">
      <c r="A166" s="1">
        <v>46240</v>
      </c>
      <c r="B166" s="2" t="s">
        <v>198</v>
      </c>
      <c r="C166" s="2" t="s">
        <v>137</v>
      </c>
      <c r="D166" s="2" t="s">
        <v>190</v>
      </c>
      <c r="E166" s="2" t="s">
        <v>27</v>
      </c>
      <c r="F166" s="2" t="s">
        <v>23</v>
      </c>
      <c r="G166">
        <v>5833</v>
      </c>
      <c r="H166">
        <v>31</v>
      </c>
      <c r="I166">
        <v>44</v>
      </c>
      <c r="J166">
        <v>10</v>
      </c>
      <c r="K166">
        <v>4</v>
      </c>
      <c r="L166">
        <v>377.95</v>
      </c>
      <c r="M166">
        <v>175296</v>
      </c>
      <c r="N166" s="3">
        <f>IFERROR(MarketingData[[#This Row],[Conversions]]/MarketingData[[#This Row],[Leads]],0)</f>
        <v>0.4</v>
      </c>
      <c r="O166" s="3">
        <f t="shared" si="2"/>
        <v>462.80738192882654</v>
      </c>
      <c r="P166" s="3">
        <f>IFERROR(MarketingData[[#This Row],[Clicks]]/MarketingData[[#This Row],[Impressions]],0)</f>
        <v>5.3145894051088638E-3</v>
      </c>
      <c r="Q166" s="3">
        <f>IFERROR(MarketingData[[#This Row],[Spend_INR]]/MarketingData[[#This Row],[Leads]],0)</f>
        <v>37.795000000000002</v>
      </c>
    </row>
    <row r="167" spans="1:17" x14ac:dyDescent="0.35">
      <c r="A167" s="1">
        <v>46240</v>
      </c>
      <c r="B167" s="2" t="s">
        <v>199</v>
      </c>
      <c r="C167" s="2" t="s">
        <v>137</v>
      </c>
      <c r="D167" s="2" t="s">
        <v>190</v>
      </c>
      <c r="E167" s="2" t="s">
        <v>57</v>
      </c>
      <c r="F167" s="2" t="s">
        <v>28</v>
      </c>
      <c r="G167">
        <v>2805</v>
      </c>
      <c r="H167">
        <v>57</v>
      </c>
      <c r="I167">
        <v>19</v>
      </c>
      <c r="J167">
        <v>9</v>
      </c>
      <c r="K167">
        <v>5</v>
      </c>
      <c r="L167">
        <v>459.34</v>
      </c>
      <c r="M167">
        <v>136905</v>
      </c>
      <c r="N167" s="3">
        <f>IFERROR(MarketingData[[#This Row],[Conversions]]/MarketingData[[#This Row],[Leads]],0)</f>
        <v>0.55555555555555558</v>
      </c>
      <c r="O167" s="3">
        <f t="shared" si="2"/>
        <v>297.04719815387296</v>
      </c>
      <c r="P167" s="3">
        <f>IFERROR(MarketingData[[#This Row],[Clicks]]/MarketingData[[#This Row],[Impressions]],0)</f>
        <v>2.0320855614973262E-2</v>
      </c>
      <c r="Q167" s="3">
        <f>IFERROR(MarketingData[[#This Row],[Spend_INR]]/MarketingData[[#This Row],[Leads]],0)</f>
        <v>51.037777777777777</v>
      </c>
    </row>
    <row r="168" spans="1:17" x14ac:dyDescent="0.35">
      <c r="A168" s="1">
        <v>46241</v>
      </c>
      <c r="B168" s="2" t="s">
        <v>200</v>
      </c>
      <c r="C168" s="2" t="s">
        <v>137</v>
      </c>
      <c r="D168" s="2" t="s">
        <v>190</v>
      </c>
      <c r="E168" s="2" t="s">
        <v>20</v>
      </c>
      <c r="F168" s="2" t="s">
        <v>17</v>
      </c>
      <c r="G168">
        <v>3379</v>
      </c>
      <c r="H168">
        <v>44</v>
      </c>
      <c r="I168">
        <v>29</v>
      </c>
      <c r="J168">
        <v>7</v>
      </c>
      <c r="K168">
        <v>3</v>
      </c>
      <c r="L168">
        <v>464.13</v>
      </c>
      <c r="M168">
        <v>178083</v>
      </c>
      <c r="N168" s="3">
        <f>IFERROR(MarketingData[[#This Row],[Conversions]]/MarketingData[[#This Row],[Leads]],0)</f>
        <v>0.42857142857142855</v>
      </c>
      <c r="O168" s="3">
        <f t="shared" si="2"/>
        <v>382.69206903238319</v>
      </c>
      <c r="P168" s="3">
        <f>IFERROR(MarketingData[[#This Row],[Clicks]]/MarketingData[[#This Row],[Impressions]],0)</f>
        <v>1.3021604024859426E-2</v>
      </c>
      <c r="Q168" s="3">
        <f>IFERROR(MarketingData[[#This Row],[Spend_INR]]/MarketingData[[#This Row],[Leads]],0)</f>
        <v>66.304285714285712</v>
      </c>
    </row>
    <row r="169" spans="1:17" x14ac:dyDescent="0.35">
      <c r="A169" s="1">
        <v>46241</v>
      </c>
      <c r="B169" s="2" t="s">
        <v>201</v>
      </c>
      <c r="C169" s="2" t="s">
        <v>137</v>
      </c>
      <c r="D169" s="2" t="s">
        <v>190</v>
      </c>
      <c r="E169" s="2" t="s">
        <v>25</v>
      </c>
      <c r="F169" s="2" t="s">
        <v>28</v>
      </c>
      <c r="G169">
        <v>6259</v>
      </c>
      <c r="H169">
        <v>71</v>
      </c>
      <c r="I169">
        <v>69</v>
      </c>
      <c r="J169">
        <v>7</v>
      </c>
      <c r="K169">
        <v>3</v>
      </c>
      <c r="L169">
        <v>361.27</v>
      </c>
      <c r="M169">
        <v>141276</v>
      </c>
      <c r="N169" s="3">
        <f>IFERROR(MarketingData[[#This Row],[Conversions]]/MarketingData[[#This Row],[Leads]],0)</f>
        <v>0.42857142857142855</v>
      </c>
      <c r="O169" s="3">
        <f t="shared" si="2"/>
        <v>390.05378248955083</v>
      </c>
      <c r="P169" s="3">
        <f>IFERROR(MarketingData[[#This Row],[Clicks]]/MarketingData[[#This Row],[Impressions]],0)</f>
        <v>1.1343665122223998E-2</v>
      </c>
      <c r="Q169" s="3">
        <f>IFERROR(MarketingData[[#This Row],[Spend_INR]]/MarketingData[[#This Row],[Leads]],0)</f>
        <v>51.61</v>
      </c>
    </row>
    <row r="170" spans="1:17" x14ac:dyDescent="0.35">
      <c r="A170" s="1">
        <v>46242</v>
      </c>
      <c r="B170" s="2" t="s">
        <v>202</v>
      </c>
      <c r="C170" s="2" t="s">
        <v>137</v>
      </c>
      <c r="D170" s="2" t="s">
        <v>190</v>
      </c>
      <c r="E170" s="2" t="s">
        <v>20</v>
      </c>
      <c r="F170" s="2" t="s">
        <v>23</v>
      </c>
      <c r="G170">
        <v>3210</v>
      </c>
      <c r="H170">
        <v>50</v>
      </c>
      <c r="I170">
        <v>72</v>
      </c>
      <c r="J170">
        <v>13</v>
      </c>
      <c r="K170">
        <v>3</v>
      </c>
      <c r="L170">
        <v>498.17</v>
      </c>
      <c r="M170">
        <v>168870</v>
      </c>
      <c r="N170" s="3">
        <f>IFERROR(MarketingData[[#This Row],[Conversions]]/MarketingData[[#This Row],[Leads]],0)</f>
        <v>0.23076923076923078</v>
      </c>
      <c r="O170" s="3">
        <f t="shared" si="2"/>
        <v>337.98066924945294</v>
      </c>
      <c r="P170" s="3">
        <f>IFERROR(MarketingData[[#This Row],[Clicks]]/MarketingData[[#This Row],[Impressions]],0)</f>
        <v>1.5576323987538941E-2</v>
      </c>
      <c r="Q170" s="3">
        <f>IFERROR(MarketingData[[#This Row],[Spend_INR]]/MarketingData[[#This Row],[Leads]],0)</f>
        <v>38.32076923076923</v>
      </c>
    </row>
    <row r="171" spans="1:17" x14ac:dyDescent="0.35">
      <c r="A171" s="1">
        <v>46242</v>
      </c>
      <c r="B171" s="2" t="s">
        <v>203</v>
      </c>
      <c r="C171" s="2" t="s">
        <v>137</v>
      </c>
      <c r="D171" s="2" t="s">
        <v>190</v>
      </c>
      <c r="E171" s="2" t="s">
        <v>20</v>
      </c>
      <c r="F171" s="2" t="s">
        <v>23</v>
      </c>
      <c r="G171">
        <v>4973</v>
      </c>
      <c r="H171">
        <v>79</v>
      </c>
      <c r="I171">
        <v>54</v>
      </c>
      <c r="J171">
        <v>14</v>
      </c>
      <c r="K171">
        <v>6</v>
      </c>
      <c r="L171">
        <v>426.16</v>
      </c>
      <c r="M171">
        <v>291378</v>
      </c>
      <c r="N171" s="3">
        <f>IFERROR(MarketingData[[#This Row],[Conversions]]/MarketingData[[#This Row],[Leads]],0)</f>
        <v>0.42857142857142855</v>
      </c>
      <c r="O171" s="3">
        <f t="shared" si="2"/>
        <v>682.7291158250423</v>
      </c>
      <c r="P171" s="3">
        <f>IFERROR(MarketingData[[#This Row],[Clicks]]/MarketingData[[#This Row],[Impressions]],0)</f>
        <v>1.5885783229438972E-2</v>
      </c>
      <c r="Q171" s="3">
        <f>IFERROR(MarketingData[[#This Row],[Spend_INR]]/MarketingData[[#This Row],[Leads]],0)</f>
        <v>30.44</v>
      </c>
    </row>
    <row r="172" spans="1:17" x14ac:dyDescent="0.35">
      <c r="A172" s="1">
        <v>46244</v>
      </c>
      <c r="B172" s="2" t="s">
        <v>204</v>
      </c>
      <c r="C172" s="2" t="s">
        <v>137</v>
      </c>
      <c r="D172" s="2" t="s">
        <v>190</v>
      </c>
      <c r="E172" s="2" t="s">
        <v>25</v>
      </c>
      <c r="F172" s="2" t="s">
        <v>28</v>
      </c>
      <c r="G172">
        <v>6616</v>
      </c>
      <c r="H172">
        <v>37</v>
      </c>
      <c r="I172">
        <v>76</v>
      </c>
      <c r="J172">
        <v>7</v>
      </c>
      <c r="K172">
        <v>3</v>
      </c>
      <c r="L172">
        <v>463.87</v>
      </c>
      <c r="M172">
        <v>133005</v>
      </c>
      <c r="N172" s="3">
        <f>IFERROR(MarketingData[[#This Row],[Conversions]]/MarketingData[[#This Row],[Leads]],0)</f>
        <v>0.42857142857142855</v>
      </c>
      <c r="O172" s="3">
        <f t="shared" si="2"/>
        <v>285.72904046392307</v>
      </c>
      <c r="P172" s="3">
        <f>IFERROR(MarketingData[[#This Row],[Clicks]]/MarketingData[[#This Row],[Impressions]],0)</f>
        <v>5.592503022974607E-3</v>
      </c>
      <c r="Q172" s="3">
        <f>IFERROR(MarketingData[[#This Row],[Spend_INR]]/MarketingData[[#This Row],[Leads]],0)</f>
        <v>66.267142857142858</v>
      </c>
    </row>
    <row r="173" spans="1:17" x14ac:dyDescent="0.35">
      <c r="A173" s="1">
        <v>46244</v>
      </c>
      <c r="B173" s="2" t="s">
        <v>205</v>
      </c>
      <c r="C173" s="2" t="s">
        <v>137</v>
      </c>
      <c r="D173" s="2" t="s">
        <v>190</v>
      </c>
      <c r="E173" s="2" t="s">
        <v>20</v>
      </c>
      <c r="F173" s="2" t="s">
        <v>28</v>
      </c>
      <c r="G173">
        <v>5560</v>
      </c>
      <c r="H173">
        <v>96</v>
      </c>
      <c r="I173">
        <v>25</v>
      </c>
      <c r="J173">
        <v>14</v>
      </c>
      <c r="K173">
        <v>5</v>
      </c>
      <c r="L173">
        <v>447.08</v>
      </c>
      <c r="M173">
        <v>301130</v>
      </c>
      <c r="N173" s="3">
        <f>IFERROR(MarketingData[[#This Row],[Conversions]]/MarketingData[[#This Row],[Leads]],0)</f>
        <v>0.35714285714285715</v>
      </c>
      <c r="O173" s="3">
        <f t="shared" si="2"/>
        <v>672.54835823566248</v>
      </c>
      <c r="P173" s="3">
        <f>IFERROR(MarketingData[[#This Row],[Clicks]]/MarketingData[[#This Row],[Impressions]],0)</f>
        <v>1.7266187050359712E-2</v>
      </c>
      <c r="Q173" s="3">
        <f>IFERROR(MarketingData[[#This Row],[Spend_INR]]/MarketingData[[#This Row],[Leads]],0)</f>
        <v>31.934285714285714</v>
      </c>
    </row>
    <row r="174" spans="1:17" x14ac:dyDescent="0.35">
      <c r="A174" s="1">
        <v>46245</v>
      </c>
      <c r="B174" s="2" t="s">
        <v>206</v>
      </c>
      <c r="C174" s="2" t="s">
        <v>137</v>
      </c>
      <c r="D174" s="2" t="s">
        <v>190</v>
      </c>
      <c r="E174" s="2" t="s">
        <v>25</v>
      </c>
      <c r="F174" s="2" t="s">
        <v>28</v>
      </c>
      <c r="G174">
        <v>6826</v>
      </c>
      <c r="H174">
        <v>39</v>
      </c>
      <c r="I174">
        <v>36</v>
      </c>
      <c r="J174">
        <v>8</v>
      </c>
      <c r="K174">
        <v>2</v>
      </c>
      <c r="L174">
        <v>456.42</v>
      </c>
      <c r="M174">
        <v>58094</v>
      </c>
      <c r="N174" s="3">
        <f>IFERROR(MarketingData[[#This Row],[Conversions]]/MarketingData[[#This Row],[Leads]],0)</f>
        <v>0.25</v>
      </c>
      <c r="O174" s="3">
        <f t="shared" si="2"/>
        <v>126.28188948775251</v>
      </c>
      <c r="P174" s="3">
        <f>IFERROR(MarketingData[[#This Row],[Clicks]]/MarketingData[[#This Row],[Impressions]],0)</f>
        <v>5.7134485789627895E-3</v>
      </c>
      <c r="Q174" s="3">
        <f>IFERROR(MarketingData[[#This Row],[Spend_INR]]/MarketingData[[#This Row],[Leads]],0)</f>
        <v>57.052500000000002</v>
      </c>
    </row>
    <row r="175" spans="1:17" x14ac:dyDescent="0.35">
      <c r="A175" s="1">
        <v>46245</v>
      </c>
      <c r="B175" s="2" t="s">
        <v>207</v>
      </c>
      <c r="C175" s="2" t="s">
        <v>137</v>
      </c>
      <c r="D175" s="2" t="s">
        <v>190</v>
      </c>
      <c r="E175" s="2" t="s">
        <v>57</v>
      </c>
      <c r="F175" s="2" t="s">
        <v>23</v>
      </c>
      <c r="G175">
        <v>6119</v>
      </c>
      <c r="H175">
        <v>85</v>
      </c>
      <c r="I175">
        <v>68</v>
      </c>
      <c r="J175">
        <v>13</v>
      </c>
      <c r="K175">
        <v>4</v>
      </c>
      <c r="L175">
        <v>504.15</v>
      </c>
      <c r="M175">
        <v>123836</v>
      </c>
      <c r="N175" s="3">
        <f>IFERROR(MarketingData[[#This Row],[Conversions]]/MarketingData[[#This Row],[Leads]],0)</f>
        <v>0.30769230769230771</v>
      </c>
      <c r="O175" s="3">
        <f t="shared" si="2"/>
        <v>244.63324407418429</v>
      </c>
      <c r="P175" s="3">
        <f>IFERROR(MarketingData[[#This Row],[Clicks]]/MarketingData[[#This Row],[Impressions]],0)</f>
        <v>1.3891158686059814E-2</v>
      </c>
      <c r="Q175" s="3">
        <f>IFERROR(MarketingData[[#This Row],[Spend_INR]]/MarketingData[[#This Row],[Leads]],0)</f>
        <v>38.780769230769231</v>
      </c>
    </row>
    <row r="176" spans="1:17" x14ac:dyDescent="0.35">
      <c r="A176" s="1">
        <v>46246</v>
      </c>
      <c r="B176" s="2" t="s">
        <v>208</v>
      </c>
      <c r="C176" s="2" t="s">
        <v>137</v>
      </c>
      <c r="D176" s="2" t="s">
        <v>190</v>
      </c>
      <c r="E176" s="2" t="s">
        <v>27</v>
      </c>
      <c r="F176" s="2" t="s">
        <v>23</v>
      </c>
      <c r="G176">
        <v>2972</v>
      </c>
      <c r="H176">
        <v>94</v>
      </c>
      <c r="I176">
        <v>24</v>
      </c>
      <c r="J176">
        <v>10</v>
      </c>
      <c r="K176">
        <v>4</v>
      </c>
      <c r="L176">
        <v>473.9</v>
      </c>
      <c r="M176">
        <v>105704</v>
      </c>
      <c r="N176" s="3">
        <f>IFERROR(MarketingData[[#This Row],[Conversions]]/MarketingData[[#This Row],[Leads]],0)</f>
        <v>0.4</v>
      </c>
      <c r="O176" s="3">
        <f t="shared" si="2"/>
        <v>222.0512766406415</v>
      </c>
      <c r="P176" s="3">
        <f>IFERROR(MarketingData[[#This Row],[Clicks]]/MarketingData[[#This Row],[Impressions]],0)</f>
        <v>3.1628532974427997E-2</v>
      </c>
      <c r="Q176" s="3">
        <f>IFERROR(MarketingData[[#This Row],[Spend_INR]]/MarketingData[[#This Row],[Leads]],0)</f>
        <v>47.39</v>
      </c>
    </row>
    <row r="177" spans="1:17" x14ac:dyDescent="0.35">
      <c r="A177" s="1">
        <v>46246</v>
      </c>
      <c r="B177" s="2" t="s">
        <v>209</v>
      </c>
      <c r="C177" s="2" t="s">
        <v>137</v>
      </c>
      <c r="D177" s="2" t="s">
        <v>190</v>
      </c>
      <c r="E177" s="2" t="s">
        <v>34</v>
      </c>
      <c r="F177" s="2" t="s">
        <v>30</v>
      </c>
      <c r="G177">
        <v>5322</v>
      </c>
      <c r="H177">
        <v>37</v>
      </c>
      <c r="I177">
        <v>68</v>
      </c>
      <c r="J177">
        <v>4</v>
      </c>
      <c r="K177">
        <v>2</v>
      </c>
      <c r="L177">
        <v>406.03</v>
      </c>
      <c r="M177">
        <v>59046</v>
      </c>
      <c r="N177" s="3">
        <f>IFERROR(MarketingData[[#This Row],[Conversions]]/MarketingData[[#This Row],[Leads]],0)</f>
        <v>0.5</v>
      </c>
      <c r="O177" s="3">
        <f t="shared" si="2"/>
        <v>144.42275201339802</v>
      </c>
      <c r="P177" s="3">
        <f>IFERROR(MarketingData[[#This Row],[Clicks]]/MarketingData[[#This Row],[Impressions]],0)</f>
        <v>6.9522735813603905E-3</v>
      </c>
      <c r="Q177" s="3">
        <f>IFERROR(MarketingData[[#This Row],[Spend_INR]]/MarketingData[[#This Row],[Leads]],0)</f>
        <v>101.50749999999999</v>
      </c>
    </row>
    <row r="178" spans="1:17" x14ac:dyDescent="0.35">
      <c r="A178" s="1">
        <v>46247</v>
      </c>
      <c r="B178" s="2" t="s">
        <v>210</v>
      </c>
      <c r="C178" s="2" t="s">
        <v>137</v>
      </c>
      <c r="D178" s="2" t="s">
        <v>190</v>
      </c>
      <c r="E178" s="2" t="s">
        <v>16</v>
      </c>
      <c r="F178" s="2" t="s">
        <v>30</v>
      </c>
      <c r="G178">
        <v>6174</v>
      </c>
      <c r="H178">
        <v>88</v>
      </c>
      <c r="I178">
        <v>65</v>
      </c>
      <c r="J178">
        <v>9</v>
      </c>
      <c r="K178">
        <v>2</v>
      </c>
      <c r="L178">
        <v>496.41</v>
      </c>
      <c r="M178">
        <v>120686</v>
      </c>
      <c r="N178" s="3">
        <f>IFERROR(MarketingData[[#This Row],[Conversions]]/MarketingData[[#This Row],[Leads]],0)</f>
        <v>0.22222222222222221</v>
      </c>
      <c r="O178" s="3">
        <f t="shared" si="2"/>
        <v>242.11758425495051</v>
      </c>
      <c r="P178" s="3">
        <f>IFERROR(MarketingData[[#This Row],[Clicks]]/MarketingData[[#This Row],[Impressions]],0)</f>
        <v>1.4253320375769355E-2</v>
      </c>
      <c r="Q178" s="3">
        <f>IFERROR(MarketingData[[#This Row],[Spend_INR]]/MarketingData[[#This Row],[Leads]],0)</f>
        <v>55.156666666666666</v>
      </c>
    </row>
    <row r="179" spans="1:17" x14ac:dyDescent="0.35">
      <c r="A179" s="1">
        <v>46247</v>
      </c>
      <c r="B179" s="2" t="s">
        <v>211</v>
      </c>
      <c r="C179" s="2" t="s">
        <v>137</v>
      </c>
      <c r="D179" s="2" t="s">
        <v>190</v>
      </c>
      <c r="E179" s="2" t="s">
        <v>25</v>
      </c>
      <c r="F179" s="2" t="s">
        <v>21</v>
      </c>
      <c r="G179">
        <v>4324</v>
      </c>
      <c r="H179">
        <v>51</v>
      </c>
      <c r="I179">
        <v>73</v>
      </c>
      <c r="J179">
        <v>3</v>
      </c>
      <c r="K179">
        <v>2</v>
      </c>
      <c r="L179">
        <v>401.67</v>
      </c>
      <c r="M179">
        <v>121360</v>
      </c>
      <c r="N179" s="3">
        <f>IFERROR(MarketingData[[#This Row],[Conversions]]/MarketingData[[#This Row],[Leads]],0)</f>
        <v>0.66666666666666663</v>
      </c>
      <c r="O179" s="3">
        <f t="shared" si="2"/>
        <v>301.13857146413721</v>
      </c>
      <c r="P179" s="3">
        <f>IFERROR(MarketingData[[#This Row],[Clicks]]/MarketingData[[#This Row],[Impressions]],0)</f>
        <v>1.1794634597594819E-2</v>
      </c>
      <c r="Q179" s="3">
        <f>IFERROR(MarketingData[[#This Row],[Spend_INR]]/MarketingData[[#This Row],[Leads]],0)</f>
        <v>133.89000000000001</v>
      </c>
    </row>
    <row r="180" spans="1:17" x14ac:dyDescent="0.35">
      <c r="A180" s="1">
        <v>46248</v>
      </c>
      <c r="B180" s="2" t="s">
        <v>212</v>
      </c>
      <c r="C180" s="2" t="s">
        <v>137</v>
      </c>
      <c r="D180" s="2" t="s">
        <v>190</v>
      </c>
      <c r="E180" s="2" t="s">
        <v>25</v>
      </c>
      <c r="F180" s="2" t="s">
        <v>23</v>
      </c>
      <c r="G180">
        <v>4758</v>
      </c>
      <c r="H180">
        <v>28</v>
      </c>
      <c r="I180">
        <v>27</v>
      </c>
      <c r="J180">
        <v>14</v>
      </c>
      <c r="K180">
        <v>7</v>
      </c>
      <c r="L180">
        <v>362.9</v>
      </c>
      <c r="M180">
        <v>477862</v>
      </c>
      <c r="N180" s="3">
        <f>IFERROR(MarketingData[[#This Row],[Conversions]]/MarketingData[[#This Row],[Leads]],0)</f>
        <v>0.5</v>
      </c>
      <c r="O180" s="3">
        <f t="shared" si="2"/>
        <v>1315.786993662166</v>
      </c>
      <c r="P180" s="3">
        <f>IFERROR(MarketingData[[#This Row],[Clicks]]/MarketingData[[#This Row],[Impressions]],0)</f>
        <v>5.8848255569567045E-3</v>
      </c>
      <c r="Q180" s="3">
        <f>IFERROR(MarketingData[[#This Row],[Spend_INR]]/MarketingData[[#This Row],[Leads]],0)</f>
        <v>25.921428571428571</v>
      </c>
    </row>
    <row r="181" spans="1:17" x14ac:dyDescent="0.35">
      <c r="A181" s="1">
        <v>46248</v>
      </c>
      <c r="B181" s="2" t="s">
        <v>213</v>
      </c>
      <c r="C181" s="2" t="s">
        <v>137</v>
      </c>
      <c r="D181" s="2" t="s">
        <v>190</v>
      </c>
      <c r="E181" s="2" t="s">
        <v>57</v>
      </c>
      <c r="F181" s="2" t="s">
        <v>28</v>
      </c>
      <c r="G181">
        <v>6157</v>
      </c>
      <c r="H181">
        <v>27</v>
      </c>
      <c r="I181">
        <v>32</v>
      </c>
      <c r="J181">
        <v>13</v>
      </c>
      <c r="K181">
        <v>6</v>
      </c>
      <c r="L181">
        <v>364.38</v>
      </c>
      <c r="M181">
        <v>167394</v>
      </c>
      <c r="N181" s="3">
        <f>IFERROR(MarketingData[[#This Row],[Conversions]]/MarketingData[[#This Row],[Leads]],0)</f>
        <v>0.46153846153846156</v>
      </c>
      <c r="O181" s="3">
        <f t="shared" si="2"/>
        <v>458.39403918985676</v>
      </c>
      <c r="P181" s="3">
        <f>IFERROR(MarketingData[[#This Row],[Clicks]]/MarketingData[[#This Row],[Impressions]],0)</f>
        <v>4.3852525580639918E-3</v>
      </c>
      <c r="Q181" s="3">
        <f>IFERROR(MarketingData[[#This Row],[Spend_INR]]/MarketingData[[#This Row],[Leads]],0)</f>
        <v>28.029230769230768</v>
      </c>
    </row>
    <row r="182" spans="1:17" x14ac:dyDescent="0.35">
      <c r="A182" s="1">
        <v>46249</v>
      </c>
      <c r="B182" s="2" t="s">
        <v>214</v>
      </c>
      <c r="C182" s="2" t="s">
        <v>137</v>
      </c>
      <c r="D182" s="2" t="s">
        <v>190</v>
      </c>
      <c r="E182" s="2" t="s">
        <v>20</v>
      </c>
      <c r="F182" s="2" t="s">
        <v>30</v>
      </c>
      <c r="G182">
        <v>4418</v>
      </c>
      <c r="H182">
        <v>86</v>
      </c>
      <c r="I182">
        <v>43</v>
      </c>
      <c r="J182">
        <v>14</v>
      </c>
      <c r="K182">
        <v>6</v>
      </c>
      <c r="L182">
        <v>457.75</v>
      </c>
      <c r="M182">
        <v>414450</v>
      </c>
      <c r="N182" s="3">
        <f>IFERROR(MarketingData[[#This Row],[Conversions]]/MarketingData[[#This Row],[Leads]],0)</f>
        <v>0.42857142857142855</v>
      </c>
      <c r="O182" s="3">
        <f t="shared" si="2"/>
        <v>904.40688148552704</v>
      </c>
      <c r="P182" s="3">
        <f>IFERROR(MarketingData[[#This Row],[Clicks]]/MarketingData[[#This Row],[Impressions]],0)</f>
        <v>1.9465821638750568E-2</v>
      </c>
      <c r="Q182" s="3">
        <f>IFERROR(MarketingData[[#This Row],[Spend_INR]]/MarketingData[[#This Row],[Leads]],0)</f>
        <v>32.696428571428569</v>
      </c>
    </row>
    <row r="183" spans="1:17" x14ac:dyDescent="0.35">
      <c r="A183" s="1">
        <v>46249</v>
      </c>
      <c r="B183" s="2" t="s">
        <v>215</v>
      </c>
      <c r="C183" s="2" t="s">
        <v>137</v>
      </c>
      <c r="D183" s="2" t="s">
        <v>190</v>
      </c>
      <c r="E183" s="2" t="s">
        <v>16</v>
      </c>
      <c r="F183" s="2" t="s">
        <v>21</v>
      </c>
      <c r="G183">
        <v>4754</v>
      </c>
      <c r="H183">
        <v>26</v>
      </c>
      <c r="I183">
        <v>59</v>
      </c>
      <c r="J183">
        <v>11</v>
      </c>
      <c r="K183">
        <v>6</v>
      </c>
      <c r="L183">
        <v>487.97</v>
      </c>
      <c r="M183">
        <v>218862</v>
      </c>
      <c r="N183" s="3">
        <f>IFERROR(MarketingData[[#This Row],[Conversions]]/MarketingData[[#This Row],[Leads]],0)</f>
        <v>0.54545454545454541</v>
      </c>
      <c r="O183" s="3">
        <f t="shared" si="2"/>
        <v>447.51527757853961</v>
      </c>
      <c r="P183" s="3">
        <f>IFERROR(MarketingData[[#This Row],[Clicks]]/MarketingData[[#This Row],[Impressions]],0)</f>
        <v>5.4690786705931848E-3</v>
      </c>
      <c r="Q183" s="3">
        <f>IFERROR(MarketingData[[#This Row],[Spend_INR]]/MarketingData[[#This Row],[Leads]],0)</f>
        <v>44.360909090909097</v>
      </c>
    </row>
    <row r="184" spans="1:17" x14ac:dyDescent="0.35">
      <c r="A184" s="1">
        <v>46251</v>
      </c>
      <c r="B184" s="2" t="s">
        <v>216</v>
      </c>
      <c r="C184" s="2" t="s">
        <v>137</v>
      </c>
      <c r="D184" s="2" t="s">
        <v>190</v>
      </c>
      <c r="E184" s="2" t="s">
        <v>57</v>
      </c>
      <c r="F184" s="2" t="s">
        <v>28</v>
      </c>
      <c r="G184">
        <v>5622</v>
      </c>
      <c r="H184">
        <v>80</v>
      </c>
      <c r="I184">
        <v>45</v>
      </c>
      <c r="J184">
        <v>11</v>
      </c>
      <c r="K184">
        <v>3</v>
      </c>
      <c r="L184">
        <v>485.8</v>
      </c>
      <c r="M184">
        <v>104337</v>
      </c>
      <c r="N184" s="3">
        <f>IFERROR(MarketingData[[#This Row],[Conversions]]/MarketingData[[#This Row],[Leads]],0)</f>
        <v>0.27272727272727271</v>
      </c>
      <c r="O184" s="3">
        <f t="shared" si="2"/>
        <v>213.77356937011115</v>
      </c>
      <c r="P184" s="3">
        <f>IFERROR(MarketingData[[#This Row],[Clicks]]/MarketingData[[#This Row],[Impressions]],0)</f>
        <v>1.4229811454998222E-2</v>
      </c>
      <c r="Q184" s="3">
        <f>IFERROR(MarketingData[[#This Row],[Spend_INR]]/MarketingData[[#This Row],[Leads]],0)</f>
        <v>44.163636363636364</v>
      </c>
    </row>
    <row r="185" spans="1:17" x14ac:dyDescent="0.35">
      <c r="A185" s="1">
        <v>46251</v>
      </c>
      <c r="B185" s="2" t="s">
        <v>217</v>
      </c>
      <c r="C185" s="2" t="s">
        <v>137</v>
      </c>
      <c r="D185" s="2" t="s">
        <v>190</v>
      </c>
      <c r="E185" s="2" t="s">
        <v>25</v>
      </c>
      <c r="F185" s="2" t="s">
        <v>28</v>
      </c>
      <c r="G185">
        <v>3682</v>
      </c>
      <c r="H185">
        <v>52</v>
      </c>
      <c r="I185">
        <v>41</v>
      </c>
      <c r="J185">
        <v>10</v>
      </c>
      <c r="K185">
        <v>5</v>
      </c>
      <c r="L185">
        <v>456.24</v>
      </c>
      <c r="M185">
        <v>261480</v>
      </c>
      <c r="N185" s="3">
        <f>IFERROR(MarketingData[[#This Row],[Conversions]]/MarketingData[[#This Row],[Leads]],0)</f>
        <v>0.5</v>
      </c>
      <c r="O185" s="3">
        <f t="shared" si="2"/>
        <v>572.11941083640193</v>
      </c>
      <c r="P185" s="3">
        <f>IFERROR(MarketingData[[#This Row],[Clicks]]/MarketingData[[#This Row],[Impressions]],0)</f>
        <v>1.4122759369907659E-2</v>
      </c>
      <c r="Q185" s="3">
        <f>IFERROR(MarketingData[[#This Row],[Spend_INR]]/MarketingData[[#This Row],[Leads]],0)</f>
        <v>45.624000000000002</v>
      </c>
    </row>
    <row r="186" spans="1:17" x14ac:dyDescent="0.35">
      <c r="A186" s="1">
        <v>46252</v>
      </c>
      <c r="B186" s="2" t="s">
        <v>218</v>
      </c>
      <c r="C186" s="2" t="s">
        <v>137</v>
      </c>
      <c r="D186" s="2" t="s">
        <v>190</v>
      </c>
      <c r="E186" s="2" t="s">
        <v>27</v>
      </c>
      <c r="F186" s="2" t="s">
        <v>21</v>
      </c>
      <c r="G186">
        <v>3147</v>
      </c>
      <c r="H186">
        <v>97</v>
      </c>
      <c r="I186">
        <v>20</v>
      </c>
      <c r="J186">
        <v>8</v>
      </c>
      <c r="K186">
        <v>2</v>
      </c>
      <c r="L186">
        <v>519.70000000000005</v>
      </c>
      <c r="M186">
        <v>74966</v>
      </c>
      <c r="N186" s="3">
        <f>IFERROR(MarketingData[[#This Row],[Conversions]]/MarketingData[[#This Row],[Leads]],0)</f>
        <v>0.25</v>
      </c>
      <c r="O186" s="3">
        <f t="shared" si="2"/>
        <v>143.24860496440255</v>
      </c>
      <c r="P186" s="3">
        <f>IFERROR(MarketingData[[#This Row],[Clicks]]/MarketingData[[#This Row],[Impressions]],0)</f>
        <v>3.0823006037496027E-2</v>
      </c>
      <c r="Q186" s="3">
        <f>IFERROR(MarketingData[[#This Row],[Spend_INR]]/MarketingData[[#This Row],[Leads]],0)</f>
        <v>64.962500000000006</v>
      </c>
    </row>
    <row r="187" spans="1:17" x14ac:dyDescent="0.35">
      <c r="A187" s="1">
        <v>46252</v>
      </c>
      <c r="B187" s="2" t="s">
        <v>219</v>
      </c>
      <c r="C187" s="2" t="s">
        <v>137</v>
      </c>
      <c r="D187" s="2" t="s">
        <v>190</v>
      </c>
      <c r="E187" s="2" t="s">
        <v>20</v>
      </c>
      <c r="F187" s="2" t="s">
        <v>23</v>
      </c>
      <c r="G187">
        <v>4277</v>
      </c>
      <c r="H187">
        <v>81</v>
      </c>
      <c r="I187">
        <v>46</v>
      </c>
      <c r="J187">
        <v>6</v>
      </c>
      <c r="K187">
        <v>3</v>
      </c>
      <c r="L187">
        <v>389.97</v>
      </c>
      <c r="M187">
        <v>78012</v>
      </c>
      <c r="N187" s="3">
        <f>IFERROR(MarketingData[[#This Row],[Conversions]]/MarketingData[[#This Row],[Leads]],0)</f>
        <v>0.5</v>
      </c>
      <c r="O187" s="3">
        <f t="shared" si="2"/>
        <v>199.0461573967228</v>
      </c>
      <c r="P187" s="3">
        <f>IFERROR(MarketingData[[#This Row],[Clicks]]/MarketingData[[#This Row],[Impressions]],0)</f>
        <v>1.8938508300210429E-2</v>
      </c>
      <c r="Q187" s="3">
        <f>IFERROR(MarketingData[[#This Row],[Spend_INR]]/MarketingData[[#This Row],[Leads]],0)</f>
        <v>64.995000000000005</v>
      </c>
    </row>
    <row r="188" spans="1:17" x14ac:dyDescent="0.35">
      <c r="A188" s="1">
        <v>46253</v>
      </c>
      <c r="B188" s="2" t="s">
        <v>220</v>
      </c>
      <c r="C188" s="2" t="s">
        <v>137</v>
      </c>
      <c r="D188" s="2" t="s">
        <v>190</v>
      </c>
      <c r="E188" s="2" t="s">
        <v>25</v>
      </c>
      <c r="F188" s="2" t="s">
        <v>30</v>
      </c>
      <c r="G188">
        <v>4175</v>
      </c>
      <c r="H188">
        <v>66</v>
      </c>
      <c r="I188">
        <v>80</v>
      </c>
      <c r="J188">
        <v>6</v>
      </c>
      <c r="K188">
        <v>2</v>
      </c>
      <c r="L188">
        <v>525.30999999999995</v>
      </c>
      <c r="M188">
        <v>99894</v>
      </c>
      <c r="N188" s="3">
        <f>IFERROR(MarketingData[[#This Row],[Conversions]]/MarketingData[[#This Row],[Leads]],0)</f>
        <v>0.33333333333333331</v>
      </c>
      <c r="O188" s="3">
        <f t="shared" si="2"/>
        <v>189.16199958119969</v>
      </c>
      <c r="P188" s="3">
        <f>IFERROR(MarketingData[[#This Row],[Clicks]]/MarketingData[[#This Row],[Impressions]],0)</f>
        <v>1.5808383233532935E-2</v>
      </c>
      <c r="Q188" s="3">
        <f>IFERROR(MarketingData[[#This Row],[Spend_INR]]/MarketingData[[#This Row],[Leads]],0)</f>
        <v>87.551666666666662</v>
      </c>
    </row>
    <row r="189" spans="1:17" x14ac:dyDescent="0.35">
      <c r="A189" s="1">
        <v>46253</v>
      </c>
      <c r="B189" s="2" t="s">
        <v>221</v>
      </c>
      <c r="C189" s="2" t="s">
        <v>137</v>
      </c>
      <c r="D189" s="2" t="s">
        <v>190</v>
      </c>
      <c r="E189" s="2" t="s">
        <v>27</v>
      </c>
      <c r="F189" s="2" t="s">
        <v>21</v>
      </c>
      <c r="G189">
        <v>3307</v>
      </c>
      <c r="H189">
        <v>48</v>
      </c>
      <c r="I189">
        <v>33</v>
      </c>
      <c r="J189">
        <v>14</v>
      </c>
      <c r="K189">
        <v>5</v>
      </c>
      <c r="L189">
        <v>483.97</v>
      </c>
      <c r="M189">
        <v>191560</v>
      </c>
      <c r="N189" s="3">
        <f>IFERROR(MarketingData[[#This Row],[Conversions]]/MarketingData[[#This Row],[Leads]],0)</f>
        <v>0.35714285714285715</v>
      </c>
      <c r="O189" s="3">
        <f t="shared" si="2"/>
        <v>394.80965762340639</v>
      </c>
      <c r="P189" s="3">
        <f>IFERROR(MarketingData[[#This Row],[Clicks]]/MarketingData[[#This Row],[Impressions]],0)</f>
        <v>1.4514665860296341E-2</v>
      </c>
      <c r="Q189" s="3">
        <f>IFERROR(MarketingData[[#This Row],[Spend_INR]]/MarketingData[[#This Row],[Leads]],0)</f>
        <v>34.569285714285719</v>
      </c>
    </row>
    <row r="190" spans="1:17" x14ac:dyDescent="0.35">
      <c r="A190" s="1">
        <v>46254</v>
      </c>
      <c r="B190" s="2" t="s">
        <v>222</v>
      </c>
      <c r="C190" s="2" t="s">
        <v>137</v>
      </c>
      <c r="D190" s="2" t="s">
        <v>190</v>
      </c>
      <c r="E190" s="2" t="s">
        <v>57</v>
      </c>
      <c r="F190" s="2" t="s">
        <v>17</v>
      </c>
      <c r="G190">
        <v>5920</v>
      </c>
      <c r="H190">
        <v>63</v>
      </c>
      <c r="I190">
        <v>47</v>
      </c>
      <c r="J190">
        <v>5</v>
      </c>
      <c r="K190">
        <v>1</v>
      </c>
      <c r="L190">
        <v>423</v>
      </c>
      <c r="M190">
        <v>62341</v>
      </c>
      <c r="N190" s="3">
        <f>IFERROR(MarketingData[[#This Row],[Conversions]]/MarketingData[[#This Row],[Leads]],0)</f>
        <v>0.2</v>
      </c>
      <c r="O190" s="3">
        <f t="shared" si="2"/>
        <v>146.37825059101655</v>
      </c>
      <c r="P190" s="3">
        <f>IFERROR(MarketingData[[#This Row],[Clicks]]/MarketingData[[#This Row],[Impressions]],0)</f>
        <v>1.0641891891891892E-2</v>
      </c>
      <c r="Q190" s="3">
        <f>IFERROR(MarketingData[[#This Row],[Spend_INR]]/MarketingData[[#This Row],[Leads]],0)</f>
        <v>84.6</v>
      </c>
    </row>
    <row r="191" spans="1:17" x14ac:dyDescent="0.35">
      <c r="A191" s="1">
        <v>46254</v>
      </c>
      <c r="B191" s="2" t="s">
        <v>223</v>
      </c>
      <c r="C191" s="2" t="s">
        <v>137</v>
      </c>
      <c r="D191" s="2" t="s">
        <v>190</v>
      </c>
      <c r="E191" s="2" t="s">
        <v>25</v>
      </c>
      <c r="F191" s="2" t="s">
        <v>21</v>
      </c>
      <c r="G191">
        <v>6518</v>
      </c>
      <c r="H191">
        <v>89</v>
      </c>
      <c r="I191">
        <v>22</v>
      </c>
      <c r="J191">
        <v>5</v>
      </c>
      <c r="K191">
        <v>2</v>
      </c>
      <c r="L191">
        <v>478.74</v>
      </c>
      <c r="M191">
        <v>68344</v>
      </c>
      <c r="N191" s="3">
        <f>IFERROR(MarketingData[[#This Row],[Conversions]]/MarketingData[[#This Row],[Leads]],0)</f>
        <v>0.4</v>
      </c>
      <c r="O191" s="3">
        <f t="shared" si="2"/>
        <v>141.75807327568199</v>
      </c>
      <c r="P191" s="3">
        <f>IFERROR(MarketingData[[#This Row],[Clicks]]/MarketingData[[#This Row],[Impressions]],0)</f>
        <v>1.3654495243939859E-2</v>
      </c>
      <c r="Q191" s="3">
        <f>IFERROR(MarketingData[[#This Row],[Spend_INR]]/MarketingData[[#This Row],[Leads]],0)</f>
        <v>95.748000000000005</v>
      </c>
    </row>
    <row r="192" spans="1:17" x14ac:dyDescent="0.35">
      <c r="A192" s="1">
        <v>46255</v>
      </c>
      <c r="B192" s="2" t="s">
        <v>224</v>
      </c>
      <c r="C192" s="2" t="s">
        <v>137</v>
      </c>
      <c r="D192" s="2" t="s">
        <v>190</v>
      </c>
      <c r="E192" s="2" t="s">
        <v>20</v>
      </c>
      <c r="F192" s="2" t="s">
        <v>23</v>
      </c>
      <c r="G192">
        <v>3108</v>
      </c>
      <c r="H192">
        <v>21</v>
      </c>
      <c r="I192">
        <v>42</v>
      </c>
      <c r="J192">
        <v>13</v>
      </c>
      <c r="K192">
        <v>3</v>
      </c>
      <c r="L192">
        <v>360.57</v>
      </c>
      <c r="M192">
        <v>102030</v>
      </c>
      <c r="N192" s="3">
        <f>IFERROR(MarketingData[[#This Row],[Conversions]]/MarketingData[[#This Row],[Leads]],0)</f>
        <v>0.23076923076923078</v>
      </c>
      <c r="O192" s="3">
        <f t="shared" si="2"/>
        <v>281.96863299775356</v>
      </c>
      <c r="P192" s="3">
        <f>IFERROR(MarketingData[[#This Row],[Clicks]]/MarketingData[[#This Row],[Impressions]],0)</f>
        <v>6.7567567567567571E-3</v>
      </c>
      <c r="Q192" s="3">
        <f>IFERROR(MarketingData[[#This Row],[Spend_INR]]/MarketingData[[#This Row],[Leads]],0)</f>
        <v>27.736153846153847</v>
      </c>
    </row>
    <row r="193" spans="1:17" x14ac:dyDescent="0.35">
      <c r="A193" s="1">
        <v>46255</v>
      </c>
      <c r="B193" s="2" t="s">
        <v>225</v>
      </c>
      <c r="C193" s="2" t="s">
        <v>137</v>
      </c>
      <c r="D193" s="2" t="s">
        <v>190</v>
      </c>
      <c r="E193" s="2" t="s">
        <v>57</v>
      </c>
      <c r="F193" s="2" t="s">
        <v>23</v>
      </c>
      <c r="G193">
        <v>5557</v>
      </c>
      <c r="H193">
        <v>90</v>
      </c>
      <c r="I193">
        <v>67</v>
      </c>
      <c r="J193">
        <v>12</v>
      </c>
      <c r="K193">
        <v>5</v>
      </c>
      <c r="L193">
        <v>493.39</v>
      </c>
      <c r="M193">
        <v>283335</v>
      </c>
      <c r="N193" s="3">
        <f>IFERROR(MarketingData[[#This Row],[Conversions]]/MarketingData[[#This Row],[Leads]],0)</f>
        <v>0.41666666666666669</v>
      </c>
      <c r="O193" s="3">
        <f t="shared" si="2"/>
        <v>573.26174020551696</v>
      </c>
      <c r="P193" s="3">
        <f>IFERROR(MarketingData[[#This Row],[Clicks]]/MarketingData[[#This Row],[Impressions]],0)</f>
        <v>1.6195789094835343E-2</v>
      </c>
      <c r="Q193" s="3">
        <f>IFERROR(MarketingData[[#This Row],[Spend_INR]]/MarketingData[[#This Row],[Leads]],0)</f>
        <v>41.115833333333335</v>
      </c>
    </row>
    <row r="194" spans="1:17" x14ac:dyDescent="0.35">
      <c r="A194" s="1">
        <v>46256</v>
      </c>
      <c r="B194" s="2" t="s">
        <v>226</v>
      </c>
      <c r="C194" s="2" t="s">
        <v>137</v>
      </c>
      <c r="D194" s="2" t="s">
        <v>190</v>
      </c>
      <c r="E194" s="2" t="s">
        <v>16</v>
      </c>
      <c r="F194" s="2" t="s">
        <v>21</v>
      </c>
      <c r="G194">
        <v>6836</v>
      </c>
      <c r="H194">
        <v>42</v>
      </c>
      <c r="I194">
        <v>28</v>
      </c>
      <c r="J194">
        <v>7</v>
      </c>
      <c r="K194">
        <v>3</v>
      </c>
      <c r="L194">
        <v>385.8</v>
      </c>
      <c r="M194">
        <v>173739</v>
      </c>
      <c r="N194" s="3">
        <f>IFERROR(MarketingData[[#This Row],[Conversions]]/MarketingData[[#This Row],[Leads]],0)</f>
        <v>0.42857142857142855</v>
      </c>
      <c r="O194" s="3">
        <f t="shared" ref="O194:O209" si="3">IFERROR((M194-L194)/L194,0)</f>
        <v>449.33437013996894</v>
      </c>
      <c r="P194" s="3">
        <f>IFERROR(MarketingData[[#This Row],[Clicks]]/MarketingData[[#This Row],[Impressions]],0)</f>
        <v>6.1439438267992981E-3</v>
      </c>
      <c r="Q194" s="3">
        <f>IFERROR(MarketingData[[#This Row],[Spend_INR]]/MarketingData[[#This Row],[Leads]],0)</f>
        <v>55.114285714285714</v>
      </c>
    </row>
    <row r="195" spans="1:17" x14ac:dyDescent="0.35">
      <c r="A195" s="1">
        <v>46256</v>
      </c>
      <c r="B195" s="2" t="s">
        <v>227</v>
      </c>
      <c r="C195" s="2" t="s">
        <v>137</v>
      </c>
      <c r="D195" s="2" t="s">
        <v>190</v>
      </c>
      <c r="E195" s="2" t="s">
        <v>57</v>
      </c>
      <c r="F195" s="2" t="s">
        <v>23</v>
      </c>
      <c r="G195">
        <v>3719</v>
      </c>
      <c r="H195">
        <v>71</v>
      </c>
      <c r="I195">
        <v>73</v>
      </c>
      <c r="J195">
        <v>6</v>
      </c>
      <c r="K195">
        <v>3</v>
      </c>
      <c r="L195">
        <v>467.77</v>
      </c>
      <c r="M195">
        <v>144684</v>
      </c>
      <c r="N195" s="3">
        <f>IFERROR(MarketingData[[#This Row],[Conversions]]/MarketingData[[#This Row],[Leads]],0)</f>
        <v>0.5</v>
      </c>
      <c r="O195" s="3">
        <f t="shared" si="3"/>
        <v>308.305855441777</v>
      </c>
      <c r="P195" s="3">
        <f>IFERROR(MarketingData[[#This Row],[Clicks]]/MarketingData[[#This Row],[Impressions]],0)</f>
        <v>1.9091153535896747E-2</v>
      </c>
      <c r="Q195" s="3">
        <f>IFERROR(MarketingData[[#This Row],[Spend_INR]]/MarketingData[[#This Row],[Leads]],0)</f>
        <v>77.961666666666659</v>
      </c>
    </row>
    <row r="196" spans="1:17" x14ac:dyDescent="0.35">
      <c r="A196" s="1">
        <v>46258</v>
      </c>
      <c r="B196" s="2" t="s">
        <v>228</v>
      </c>
      <c r="C196" s="2" t="s">
        <v>137</v>
      </c>
      <c r="D196" s="2" t="s">
        <v>190</v>
      </c>
      <c r="E196" s="2" t="s">
        <v>34</v>
      </c>
      <c r="F196" s="2" t="s">
        <v>21</v>
      </c>
      <c r="G196">
        <v>4350</v>
      </c>
      <c r="H196">
        <v>90</v>
      </c>
      <c r="I196">
        <v>75</v>
      </c>
      <c r="J196">
        <v>13</v>
      </c>
      <c r="K196">
        <v>6</v>
      </c>
      <c r="L196">
        <v>367.26</v>
      </c>
      <c r="M196">
        <v>405546</v>
      </c>
      <c r="N196" s="3">
        <f>IFERROR(MarketingData[[#This Row],[Conversions]]/MarketingData[[#This Row],[Leads]],0)</f>
        <v>0.46153846153846156</v>
      </c>
      <c r="O196" s="3">
        <f t="shared" si="3"/>
        <v>1103.247671949028</v>
      </c>
      <c r="P196" s="3">
        <f>IFERROR(MarketingData[[#This Row],[Clicks]]/MarketingData[[#This Row],[Impressions]],0)</f>
        <v>2.0689655172413793E-2</v>
      </c>
      <c r="Q196" s="3">
        <f>IFERROR(MarketingData[[#This Row],[Spend_INR]]/MarketingData[[#This Row],[Leads]],0)</f>
        <v>28.25076923076923</v>
      </c>
    </row>
    <row r="197" spans="1:17" x14ac:dyDescent="0.35">
      <c r="A197" s="1">
        <v>46258</v>
      </c>
      <c r="B197" s="2" t="s">
        <v>229</v>
      </c>
      <c r="C197" s="2" t="s">
        <v>137</v>
      </c>
      <c r="D197" s="2" t="s">
        <v>190</v>
      </c>
      <c r="E197" s="2" t="s">
        <v>25</v>
      </c>
      <c r="F197" s="2" t="s">
        <v>23</v>
      </c>
      <c r="G197">
        <v>2577</v>
      </c>
      <c r="H197">
        <v>25</v>
      </c>
      <c r="I197">
        <v>44</v>
      </c>
      <c r="J197">
        <v>5</v>
      </c>
      <c r="K197">
        <v>1</v>
      </c>
      <c r="L197">
        <v>532.99</v>
      </c>
      <c r="M197">
        <v>67264</v>
      </c>
      <c r="N197" s="3">
        <f>IFERROR(MarketingData[[#This Row],[Conversions]]/MarketingData[[#This Row],[Leads]],0)</f>
        <v>0.2</v>
      </c>
      <c r="O197" s="3">
        <f t="shared" si="3"/>
        <v>125.2012420495694</v>
      </c>
      <c r="P197" s="3">
        <f>IFERROR(MarketingData[[#This Row],[Clicks]]/MarketingData[[#This Row],[Impressions]],0)</f>
        <v>9.7012029491656965E-3</v>
      </c>
      <c r="Q197" s="3">
        <f>IFERROR(MarketingData[[#This Row],[Spend_INR]]/MarketingData[[#This Row],[Leads]],0)</f>
        <v>106.598</v>
      </c>
    </row>
    <row r="198" spans="1:17" x14ac:dyDescent="0.35">
      <c r="A198" s="1">
        <v>46259</v>
      </c>
      <c r="B198" s="2" t="s">
        <v>230</v>
      </c>
      <c r="C198" s="2" t="s">
        <v>137</v>
      </c>
      <c r="D198" s="2" t="s">
        <v>190</v>
      </c>
      <c r="E198" s="2" t="s">
        <v>25</v>
      </c>
      <c r="F198" s="2" t="s">
        <v>23</v>
      </c>
      <c r="G198">
        <v>6395</v>
      </c>
      <c r="H198">
        <v>60</v>
      </c>
      <c r="I198">
        <v>17</v>
      </c>
      <c r="J198">
        <v>3</v>
      </c>
      <c r="K198">
        <v>2</v>
      </c>
      <c r="L198">
        <v>515.29</v>
      </c>
      <c r="M198">
        <v>86748</v>
      </c>
      <c r="N198" s="3">
        <f>IFERROR(MarketingData[[#This Row],[Conversions]]/MarketingData[[#This Row],[Leads]],0)</f>
        <v>0.66666666666666663</v>
      </c>
      <c r="O198" s="3">
        <f t="shared" si="3"/>
        <v>167.34792058840657</v>
      </c>
      <c r="P198" s="3">
        <f>IFERROR(MarketingData[[#This Row],[Clicks]]/MarketingData[[#This Row],[Impressions]],0)</f>
        <v>9.3823299452697427E-3</v>
      </c>
      <c r="Q198" s="3">
        <f>IFERROR(MarketingData[[#This Row],[Spend_INR]]/MarketingData[[#This Row],[Leads]],0)</f>
        <v>171.76333333333332</v>
      </c>
    </row>
    <row r="199" spans="1:17" x14ac:dyDescent="0.35">
      <c r="A199" s="1">
        <v>46259</v>
      </c>
      <c r="B199" s="2" t="s">
        <v>231</v>
      </c>
      <c r="C199" s="2" t="s">
        <v>137</v>
      </c>
      <c r="D199" s="2" t="s">
        <v>190</v>
      </c>
      <c r="E199" s="2" t="s">
        <v>25</v>
      </c>
      <c r="F199" s="2" t="s">
        <v>28</v>
      </c>
      <c r="G199">
        <v>3681</v>
      </c>
      <c r="H199">
        <v>69</v>
      </c>
      <c r="I199">
        <v>57</v>
      </c>
      <c r="J199">
        <v>14</v>
      </c>
      <c r="K199">
        <v>7</v>
      </c>
      <c r="L199">
        <v>542.17999999999995</v>
      </c>
      <c r="M199">
        <v>312291</v>
      </c>
      <c r="N199" s="3">
        <f>IFERROR(MarketingData[[#This Row],[Conversions]]/MarketingData[[#This Row],[Leads]],0)</f>
        <v>0.5</v>
      </c>
      <c r="O199" s="3">
        <f t="shared" si="3"/>
        <v>574.99136818030922</v>
      </c>
      <c r="P199" s="3">
        <f>IFERROR(MarketingData[[#This Row],[Clicks]]/MarketingData[[#This Row],[Impressions]],0)</f>
        <v>1.8744906275468622E-2</v>
      </c>
      <c r="Q199" s="3">
        <f>IFERROR(MarketingData[[#This Row],[Spend_INR]]/MarketingData[[#This Row],[Leads]],0)</f>
        <v>38.727142857142852</v>
      </c>
    </row>
    <row r="200" spans="1:17" x14ac:dyDescent="0.35">
      <c r="A200" s="1">
        <v>46260</v>
      </c>
      <c r="B200" s="2" t="s">
        <v>232</v>
      </c>
      <c r="C200" s="2" t="s">
        <v>137</v>
      </c>
      <c r="D200" s="2" t="s">
        <v>190</v>
      </c>
      <c r="E200" s="2" t="s">
        <v>34</v>
      </c>
      <c r="F200" s="2" t="s">
        <v>21</v>
      </c>
      <c r="G200">
        <v>3646</v>
      </c>
      <c r="H200">
        <v>29</v>
      </c>
      <c r="I200">
        <v>58</v>
      </c>
      <c r="J200">
        <v>14</v>
      </c>
      <c r="K200">
        <v>6</v>
      </c>
      <c r="L200">
        <v>495.09</v>
      </c>
      <c r="M200">
        <v>285996</v>
      </c>
      <c r="N200" s="3">
        <f>IFERROR(MarketingData[[#This Row],[Conversions]]/MarketingData[[#This Row],[Leads]],0)</f>
        <v>0.42857142857142855</v>
      </c>
      <c r="O200" s="3">
        <f t="shared" si="3"/>
        <v>576.66466703023696</v>
      </c>
      <c r="P200" s="3">
        <f>IFERROR(MarketingData[[#This Row],[Clicks]]/MarketingData[[#This Row],[Impressions]],0)</f>
        <v>7.9539221064179929E-3</v>
      </c>
      <c r="Q200" s="3">
        <f>IFERROR(MarketingData[[#This Row],[Spend_INR]]/MarketingData[[#This Row],[Leads]],0)</f>
        <v>35.363571428571426</v>
      </c>
    </row>
    <row r="201" spans="1:17" x14ac:dyDescent="0.35">
      <c r="A201" s="1">
        <v>46260</v>
      </c>
      <c r="B201" s="2" t="s">
        <v>233</v>
      </c>
      <c r="C201" s="2" t="s">
        <v>137</v>
      </c>
      <c r="D201" s="2" t="s">
        <v>190</v>
      </c>
      <c r="E201" s="2" t="s">
        <v>20</v>
      </c>
      <c r="F201" s="2" t="s">
        <v>30</v>
      </c>
      <c r="G201">
        <v>5749</v>
      </c>
      <c r="H201">
        <v>68</v>
      </c>
      <c r="I201">
        <v>70</v>
      </c>
      <c r="J201">
        <v>8</v>
      </c>
      <c r="K201">
        <v>2</v>
      </c>
      <c r="L201">
        <v>470.07</v>
      </c>
      <c r="M201">
        <v>109054</v>
      </c>
      <c r="N201" s="3">
        <f>IFERROR(MarketingData[[#This Row],[Conversions]]/MarketingData[[#This Row],[Leads]],0)</f>
        <v>0.25</v>
      </c>
      <c r="O201" s="3">
        <f t="shared" si="3"/>
        <v>230.99523475227093</v>
      </c>
      <c r="P201" s="3">
        <f>IFERROR(MarketingData[[#This Row],[Clicks]]/MarketingData[[#This Row],[Impressions]],0)</f>
        <v>1.1828144025047834E-2</v>
      </c>
      <c r="Q201" s="3">
        <f>IFERROR(MarketingData[[#This Row],[Spend_INR]]/MarketingData[[#This Row],[Leads]],0)</f>
        <v>58.758749999999999</v>
      </c>
    </row>
    <row r="202" spans="1:17" x14ac:dyDescent="0.35">
      <c r="A202" s="1">
        <v>46261</v>
      </c>
      <c r="B202" s="2" t="s">
        <v>234</v>
      </c>
      <c r="C202" s="2" t="s">
        <v>137</v>
      </c>
      <c r="D202" s="2" t="s">
        <v>190</v>
      </c>
      <c r="E202" s="2" t="s">
        <v>27</v>
      </c>
      <c r="F202" s="2" t="s">
        <v>28</v>
      </c>
      <c r="G202">
        <v>5613</v>
      </c>
      <c r="H202">
        <v>39</v>
      </c>
      <c r="I202">
        <v>64</v>
      </c>
      <c r="J202">
        <v>12</v>
      </c>
      <c r="K202">
        <v>4</v>
      </c>
      <c r="L202">
        <v>467.11</v>
      </c>
      <c r="M202">
        <v>119268</v>
      </c>
      <c r="N202" s="3">
        <f>IFERROR(MarketingData[[#This Row],[Conversions]]/MarketingData[[#This Row],[Leads]],0)</f>
        <v>0.33333333333333331</v>
      </c>
      <c r="O202" s="3">
        <f t="shared" si="3"/>
        <v>254.33172057973496</v>
      </c>
      <c r="P202" s="3">
        <f>IFERROR(MarketingData[[#This Row],[Clicks]]/MarketingData[[#This Row],[Impressions]],0)</f>
        <v>6.9481560662747197E-3</v>
      </c>
      <c r="Q202" s="3">
        <f>IFERROR(MarketingData[[#This Row],[Spend_INR]]/MarketingData[[#This Row],[Leads]],0)</f>
        <v>38.925833333333337</v>
      </c>
    </row>
    <row r="203" spans="1:17" x14ac:dyDescent="0.35">
      <c r="A203" s="1">
        <v>46261</v>
      </c>
      <c r="B203" s="2" t="s">
        <v>235</v>
      </c>
      <c r="C203" s="2" t="s">
        <v>137</v>
      </c>
      <c r="D203" s="2" t="s">
        <v>190</v>
      </c>
      <c r="E203" s="2" t="s">
        <v>20</v>
      </c>
      <c r="F203" s="2" t="s">
        <v>23</v>
      </c>
      <c r="G203">
        <v>3372</v>
      </c>
      <c r="H203">
        <v>77</v>
      </c>
      <c r="I203">
        <v>80</v>
      </c>
      <c r="J203">
        <v>3</v>
      </c>
      <c r="K203">
        <v>2</v>
      </c>
      <c r="L203">
        <v>444.47</v>
      </c>
      <c r="M203">
        <v>85358</v>
      </c>
      <c r="N203" s="3">
        <f>IFERROR(MarketingData[[#This Row],[Conversions]]/MarketingData[[#This Row],[Leads]],0)</f>
        <v>0.66666666666666663</v>
      </c>
      <c r="O203" s="3">
        <f t="shared" si="3"/>
        <v>191.04445744369698</v>
      </c>
      <c r="P203" s="3">
        <f>IFERROR(MarketingData[[#This Row],[Clicks]]/MarketingData[[#This Row],[Impressions]],0)</f>
        <v>2.2835112692763938E-2</v>
      </c>
      <c r="Q203" s="3">
        <f>IFERROR(MarketingData[[#This Row],[Spend_INR]]/MarketingData[[#This Row],[Leads]],0)</f>
        <v>148.15666666666667</v>
      </c>
    </row>
    <row r="204" spans="1:17" x14ac:dyDescent="0.35">
      <c r="A204" s="1">
        <v>46262</v>
      </c>
      <c r="B204" s="2" t="s">
        <v>236</v>
      </c>
      <c r="C204" s="2" t="s">
        <v>137</v>
      </c>
      <c r="D204" s="2" t="s">
        <v>190</v>
      </c>
      <c r="E204" s="2" t="s">
        <v>34</v>
      </c>
      <c r="F204" s="2" t="s">
        <v>30</v>
      </c>
      <c r="G204">
        <v>2715</v>
      </c>
      <c r="H204">
        <v>30</v>
      </c>
      <c r="I204">
        <v>46</v>
      </c>
      <c r="J204">
        <v>8</v>
      </c>
      <c r="K204">
        <v>3</v>
      </c>
      <c r="L204">
        <v>413.72</v>
      </c>
      <c r="M204">
        <v>138783</v>
      </c>
      <c r="N204" s="3">
        <f>IFERROR(MarketingData[[#This Row],[Conversions]]/MarketingData[[#This Row],[Leads]],0)</f>
        <v>0.375</v>
      </c>
      <c r="O204" s="3">
        <f t="shared" si="3"/>
        <v>334.45151310064773</v>
      </c>
      <c r="P204" s="3">
        <f>IFERROR(MarketingData[[#This Row],[Clicks]]/MarketingData[[#This Row],[Impressions]],0)</f>
        <v>1.1049723756906077E-2</v>
      </c>
      <c r="Q204" s="3">
        <f>IFERROR(MarketingData[[#This Row],[Spend_INR]]/MarketingData[[#This Row],[Leads]],0)</f>
        <v>51.715000000000003</v>
      </c>
    </row>
    <row r="205" spans="1:17" x14ac:dyDescent="0.35">
      <c r="A205" s="1">
        <v>46262</v>
      </c>
      <c r="B205" s="2" t="s">
        <v>237</v>
      </c>
      <c r="C205" s="2" t="s">
        <v>137</v>
      </c>
      <c r="D205" s="2" t="s">
        <v>190</v>
      </c>
      <c r="E205" s="2" t="s">
        <v>20</v>
      </c>
      <c r="F205" s="2" t="s">
        <v>23</v>
      </c>
      <c r="G205">
        <v>3889</v>
      </c>
      <c r="H205">
        <v>55</v>
      </c>
      <c r="I205">
        <v>68</v>
      </c>
      <c r="J205">
        <v>9</v>
      </c>
      <c r="K205">
        <v>2</v>
      </c>
      <c r="L205">
        <v>469.58</v>
      </c>
      <c r="M205">
        <v>85180</v>
      </c>
      <c r="N205" s="3">
        <f>IFERROR(MarketingData[[#This Row],[Conversions]]/MarketingData[[#This Row],[Leads]],0)</f>
        <v>0.22222222222222221</v>
      </c>
      <c r="O205" s="3">
        <f t="shared" si="3"/>
        <v>180.39614123259082</v>
      </c>
      <c r="P205" s="3">
        <f>IFERROR(MarketingData[[#This Row],[Clicks]]/MarketingData[[#This Row],[Impressions]],0)</f>
        <v>1.4142453072769349E-2</v>
      </c>
      <c r="Q205" s="3">
        <f>IFERROR(MarketingData[[#This Row],[Spend_INR]]/MarketingData[[#This Row],[Leads]],0)</f>
        <v>52.175555555555555</v>
      </c>
    </row>
    <row r="206" spans="1:17" x14ac:dyDescent="0.35">
      <c r="A206" s="1">
        <v>46263</v>
      </c>
      <c r="B206" s="2" t="s">
        <v>238</v>
      </c>
      <c r="C206" s="2" t="s">
        <v>137</v>
      </c>
      <c r="D206" s="2" t="s">
        <v>190</v>
      </c>
      <c r="E206" s="2" t="s">
        <v>25</v>
      </c>
      <c r="F206" s="2" t="s">
        <v>28</v>
      </c>
      <c r="G206">
        <v>3130</v>
      </c>
      <c r="H206">
        <v>37</v>
      </c>
      <c r="I206">
        <v>53</v>
      </c>
      <c r="J206">
        <v>7</v>
      </c>
      <c r="K206">
        <v>4</v>
      </c>
      <c r="L206">
        <v>472.09</v>
      </c>
      <c r="M206">
        <v>229968</v>
      </c>
      <c r="N206" s="3">
        <f>IFERROR(MarketingData[[#This Row],[Conversions]]/MarketingData[[#This Row],[Leads]],0)</f>
        <v>0.5714285714285714</v>
      </c>
      <c r="O206" s="3">
        <f t="shared" si="3"/>
        <v>486.12745451079246</v>
      </c>
      <c r="P206" s="3">
        <f>IFERROR(MarketingData[[#This Row],[Clicks]]/MarketingData[[#This Row],[Impressions]],0)</f>
        <v>1.1821086261980831E-2</v>
      </c>
      <c r="Q206" s="3">
        <f>IFERROR(MarketingData[[#This Row],[Spend_INR]]/MarketingData[[#This Row],[Leads]],0)</f>
        <v>67.441428571428574</v>
      </c>
    </row>
    <row r="207" spans="1:17" x14ac:dyDescent="0.35">
      <c r="A207" s="1">
        <v>46263</v>
      </c>
      <c r="B207" s="2" t="s">
        <v>239</v>
      </c>
      <c r="C207" s="2" t="s">
        <v>137</v>
      </c>
      <c r="D207" s="2" t="s">
        <v>190</v>
      </c>
      <c r="E207" s="2" t="s">
        <v>16</v>
      </c>
      <c r="F207" s="2" t="s">
        <v>17</v>
      </c>
      <c r="G207">
        <v>5221</v>
      </c>
      <c r="H207">
        <v>61</v>
      </c>
      <c r="I207">
        <v>40</v>
      </c>
      <c r="J207">
        <v>9</v>
      </c>
      <c r="K207">
        <v>4</v>
      </c>
      <c r="L207">
        <v>432.95</v>
      </c>
      <c r="M207">
        <v>187748</v>
      </c>
      <c r="N207" s="3">
        <f>IFERROR(MarketingData[[#This Row],[Conversions]]/MarketingData[[#This Row],[Leads]],0)</f>
        <v>0.44444444444444442</v>
      </c>
      <c r="O207" s="3">
        <f t="shared" si="3"/>
        <v>432.64822727797667</v>
      </c>
      <c r="P207" s="3">
        <f>IFERROR(MarketingData[[#This Row],[Clicks]]/MarketingData[[#This Row],[Impressions]],0)</f>
        <v>1.1683585520015322E-2</v>
      </c>
      <c r="Q207" s="3">
        <f>IFERROR(MarketingData[[#This Row],[Spend_INR]]/MarketingData[[#This Row],[Leads]],0)</f>
        <v>48.105555555555554</v>
      </c>
    </row>
    <row r="208" spans="1:17" x14ac:dyDescent="0.35">
      <c r="A208" s="1">
        <v>46265</v>
      </c>
      <c r="B208" s="2" t="s">
        <v>240</v>
      </c>
      <c r="C208" s="2" t="s">
        <v>137</v>
      </c>
      <c r="D208" s="2" t="s">
        <v>190</v>
      </c>
      <c r="E208" s="2" t="s">
        <v>20</v>
      </c>
      <c r="F208" s="2" t="s">
        <v>30</v>
      </c>
      <c r="G208">
        <v>3955</v>
      </c>
      <c r="H208">
        <v>70</v>
      </c>
      <c r="I208">
        <v>61</v>
      </c>
      <c r="J208">
        <v>8</v>
      </c>
      <c r="K208">
        <v>2</v>
      </c>
      <c r="L208">
        <v>469.5</v>
      </c>
      <c r="M208">
        <v>114356</v>
      </c>
      <c r="N208" s="3">
        <f>IFERROR(MarketingData[[#This Row],[Conversions]]/MarketingData[[#This Row],[Leads]],0)</f>
        <v>0.25</v>
      </c>
      <c r="O208" s="3">
        <f t="shared" si="3"/>
        <v>242.56975505857295</v>
      </c>
      <c r="P208" s="3">
        <f>IFERROR(MarketingData[[#This Row],[Clicks]]/MarketingData[[#This Row],[Impressions]],0)</f>
        <v>1.7699115044247787E-2</v>
      </c>
      <c r="Q208" s="3">
        <f>IFERROR(MarketingData[[#This Row],[Spend_INR]]/MarketingData[[#This Row],[Leads]],0)</f>
        <v>58.6875</v>
      </c>
    </row>
    <row r="209" spans="1:17" x14ac:dyDescent="0.35">
      <c r="A209" s="1">
        <v>46265</v>
      </c>
      <c r="B209" s="2" t="s">
        <v>241</v>
      </c>
      <c r="C209" s="2" t="s">
        <v>137</v>
      </c>
      <c r="D209" s="2" t="s">
        <v>190</v>
      </c>
      <c r="E209" s="2" t="s">
        <v>57</v>
      </c>
      <c r="F209" s="2" t="s">
        <v>28</v>
      </c>
      <c r="G209">
        <v>4136</v>
      </c>
      <c r="H209">
        <v>57</v>
      </c>
      <c r="I209">
        <v>23</v>
      </c>
      <c r="J209">
        <v>11</v>
      </c>
      <c r="K209">
        <v>3</v>
      </c>
      <c r="L209">
        <v>524.44000000000005</v>
      </c>
      <c r="M209">
        <v>80289</v>
      </c>
      <c r="N209" s="3">
        <f>IFERROR(MarketingData[[#This Row],[Conversions]]/MarketingData[[#This Row],[Leads]],0)</f>
        <v>0.27272727272727271</v>
      </c>
      <c r="O209" s="3">
        <f t="shared" si="3"/>
        <v>152.09472961635265</v>
      </c>
      <c r="P209" s="3">
        <f>IFERROR(MarketingData[[#This Row],[Clicks]]/MarketingData[[#This Row],[Impressions]],0)</f>
        <v>1.3781431334622824E-2</v>
      </c>
      <c r="Q209" s="3">
        <f>IFERROR(MarketingData[[#This Row],[Spend_INR]]/MarketingData[[#This Row],[Leads]],0)</f>
        <v>47.676363636363639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9D5B2-EC28-4FE8-8897-072D4EACBF3A}">
  <dimension ref="B1:L38"/>
  <sheetViews>
    <sheetView showGridLines="0" tabSelected="1" zoomScale="65" zoomScaleNormal="65" workbookViewId="0">
      <selection activeCell="R13" sqref="R13"/>
    </sheetView>
  </sheetViews>
  <sheetFormatPr defaultRowHeight="14.5" x14ac:dyDescent="0.35"/>
  <cols>
    <col min="2" max="2" width="17.26953125" bestFit="1" customWidth="1"/>
    <col min="3" max="3" width="11.54296875" bestFit="1" customWidth="1"/>
    <col min="4" max="4" width="11.90625" customWidth="1"/>
    <col min="5" max="5" width="6.81640625" bestFit="1" customWidth="1"/>
    <col min="6" max="6" width="17.1796875" customWidth="1"/>
    <col min="7" max="7" width="14.453125" bestFit="1" customWidth="1"/>
    <col min="8" max="8" width="17.54296875" bestFit="1" customWidth="1"/>
    <col min="9" max="10" width="12" bestFit="1" customWidth="1"/>
    <col min="12" max="12" width="16.08984375" customWidth="1"/>
  </cols>
  <sheetData>
    <row r="1" spans="2:12" x14ac:dyDescent="0.35">
      <c r="B1" s="7" t="s">
        <v>258</v>
      </c>
      <c r="C1" s="7"/>
      <c r="D1" s="7"/>
      <c r="E1" s="7"/>
      <c r="F1" s="7"/>
      <c r="G1" s="7"/>
      <c r="H1" s="7"/>
      <c r="I1" s="7"/>
      <c r="J1" s="7"/>
      <c r="K1" s="7"/>
      <c r="L1" s="7"/>
    </row>
    <row r="2" spans="2:12" x14ac:dyDescent="0.35">
      <c r="B2" s="7"/>
      <c r="C2" s="7"/>
      <c r="D2" s="7"/>
      <c r="E2" s="7"/>
      <c r="F2" s="7"/>
      <c r="G2" s="7"/>
      <c r="H2" s="7"/>
      <c r="I2" s="7"/>
      <c r="J2" s="7"/>
      <c r="K2" s="7"/>
      <c r="L2" s="7"/>
    </row>
    <row r="3" spans="2:12" x14ac:dyDescent="0.35">
      <c r="B3" s="7"/>
      <c r="C3" s="7"/>
      <c r="D3" s="7"/>
      <c r="E3" s="7"/>
      <c r="F3" s="7"/>
      <c r="G3" s="7"/>
      <c r="H3" s="7"/>
      <c r="I3" s="7"/>
      <c r="J3" s="7"/>
      <c r="K3" s="7"/>
      <c r="L3" s="7"/>
    </row>
    <row r="5" spans="2:12" x14ac:dyDescent="0.35">
      <c r="B5" t="s">
        <v>246</v>
      </c>
      <c r="D5" t="s">
        <v>247</v>
      </c>
      <c r="F5" t="s">
        <v>248</v>
      </c>
      <c r="H5" t="s">
        <v>249</v>
      </c>
      <c r="J5" t="s">
        <v>250</v>
      </c>
      <c r="L5" t="s">
        <v>251</v>
      </c>
    </row>
    <row r="6" spans="2:12" x14ac:dyDescent="0.35">
      <c r="B6">
        <f>SUM(MarketingData[Spend_INR])</f>
        <v>82749.479999999981</v>
      </c>
      <c r="D6">
        <f>SUM(MarketingData[Leads])</f>
        <v>2243</v>
      </c>
      <c r="F6">
        <f>SUM(MarketingData[Conversions])</f>
        <v>913</v>
      </c>
      <c r="H6">
        <f>SUM(MarketingData[Revenue_INR])</f>
        <v>42623226</v>
      </c>
      <c r="J6" s="3">
        <f>IFERROR((SUM(MarketingData[Revenue_INR])-SUM(MarketingData[Spend_INR]))/SUM(MarketingData[Spend_INR]),0)</f>
        <v>514.08753891867377</v>
      </c>
      <c r="L6" s="3">
        <f>IFERROR(SUM(MarketingData[Conversions])/SUM(MarketingData[Leads]),0)</f>
        <v>0.40704413731609451</v>
      </c>
    </row>
    <row r="25" spans="2:5" x14ac:dyDescent="0.35">
      <c r="B25" s="4" t="s">
        <v>262</v>
      </c>
      <c r="C25" t="s">
        <v>259</v>
      </c>
      <c r="D25" t="s">
        <v>260</v>
      </c>
      <c r="E25" t="s">
        <v>261</v>
      </c>
    </row>
    <row r="26" spans="2:5" x14ac:dyDescent="0.35">
      <c r="B26" s="5" t="s">
        <v>150</v>
      </c>
      <c r="C26" s="2">
        <v>15</v>
      </c>
      <c r="D26" s="2">
        <v>828840</v>
      </c>
      <c r="E26" s="2">
        <v>346.89</v>
      </c>
    </row>
    <row r="27" spans="2:5" x14ac:dyDescent="0.35">
      <c r="B27" s="6" t="s">
        <v>27</v>
      </c>
      <c r="C27" s="2">
        <v>15</v>
      </c>
      <c r="D27" s="2">
        <v>828840</v>
      </c>
      <c r="E27" s="2">
        <v>346.89</v>
      </c>
    </row>
    <row r="28" spans="2:5" x14ac:dyDescent="0.35">
      <c r="B28" s="5" t="s">
        <v>154</v>
      </c>
      <c r="C28" s="2">
        <v>14</v>
      </c>
      <c r="D28" s="2">
        <v>780402</v>
      </c>
      <c r="E28" s="2">
        <v>301.77</v>
      </c>
    </row>
    <row r="29" spans="2:5" x14ac:dyDescent="0.35">
      <c r="B29" s="6" t="s">
        <v>57</v>
      </c>
      <c r="C29" s="2">
        <v>14</v>
      </c>
      <c r="D29" s="2">
        <v>780402</v>
      </c>
      <c r="E29" s="2">
        <v>301.77</v>
      </c>
    </row>
    <row r="30" spans="2:5" x14ac:dyDescent="0.35">
      <c r="B30" s="5" t="s">
        <v>166</v>
      </c>
      <c r="C30" s="2">
        <v>13</v>
      </c>
      <c r="D30" s="2">
        <v>382278</v>
      </c>
      <c r="E30" s="2">
        <v>156.96</v>
      </c>
    </row>
    <row r="31" spans="2:5" x14ac:dyDescent="0.35">
      <c r="B31" s="6" t="s">
        <v>20</v>
      </c>
      <c r="C31" s="2">
        <v>13</v>
      </c>
      <c r="D31" s="2">
        <v>382278</v>
      </c>
      <c r="E31" s="2">
        <v>156.96</v>
      </c>
    </row>
    <row r="32" spans="2:5" x14ac:dyDescent="0.35">
      <c r="B32" s="5" t="s">
        <v>163</v>
      </c>
      <c r="C32" s="2">
        <v>12</v>
      </c>
      <c r="D32" s="2">
        <v>633840</v>
      </c>
      <c r="E32" s="2">
        <v>310.23</v>
      </c>
    </row>
    <row r="33" spans="2:5" x14ac:dyDescent="0.35">
      <c r="B33" s="6" t="s">
        <v>34</v>
      </c>
      <c r="C33" s="2">
        <v>12</v>
      </c>
      <c r="D33" s="2">
        <v>633840</v>
      </c>
      <c r="E33" s="2">
        <v>310.23</v>
      </c>
    </row>
    <row r="34" spans="2:5" x14ac:dyDescent="0.35">
      <c r="B34" s="5" t="s">
        <v>159</v>
      </c>
      <c r="C34" s="2">
        <v>12</v>
      </c>
      <c r="D34" s="2">
        <v>561492</v>
      </c>
      <c r="E34" s="2">
        <v>304.3</v>
      </c>
    </row>
    <row r="35" spans="2:5" x14ac:dyDescent="0.35">
      <c r="B35" s="6" t="s">
        <v>20</v>
      </c>
      <c r="C35" s="2">
        <v>12</v>
      </c>
      <c r="D35" s="2">
        <v>561492</v>
      </c>
      <c r="E35" s="2">
        <v>304.3</v>
      </c>
    </row>
    <row r="36" spans="2:5" x14ac:dyDescent="0.35">
      <c r="B36" s="5" t="s">
        <v>155</v>
      </c>
      <c r="C36" s="2">
        <v>12</v>
      </c>
      <c r="D36" s="2">
        <v>526572</v>
      </c>
      <c r="E36" s="2">
        <v>234.65</v>
      </c>
    </row>
    <row r="37" spans="2:5" x14ac:dyDescent="0.35">
      <c r="B37" s="6" t="s">
        <v>20</v>
      </c>
      <c r="C37" s="2">
        <v>12</v>
      </c>
      <c r="D37" s="2">
        <v>526572</v>
      </c>
      <c r="E37" s="2">
        <v>234.65</v>
      </c>
    </row>
    <row r="38" spans="2:5" x14ac:dyDescent="0.35">
      <c r="B38" s="5" t="s">
        <v>253</v>
      </c>
      <c r="C38" s="2">
        <v>78</v>
      </c>
      <c r="D38" s="2">
        <v>3713424</v>
      </c>
      <c r="E38" s="2">
        <v>1654.8</v>
      </c>
    </row>
  </sheetData>
  <mergeCells count="1">
    <mergeCell ref="B1:L3"/>
  </mergeCells>
  <pageMargins left="0.7" right="0.7" top="0.75" bottom="0.75" header="0.3" footer="0.3"/>
  <drawing r:id="rId2"/>
  <tableParts count="6">
    <tablePart r:id="rId3"/>
    <tablePart r:id="rId4"/>
    <tablePart r:id="rId5"/>
    <tablePart r:id="rId6"/>
    <tablePart r:id="rId7"/>
    <tablePart r:id="rId8"/>
  </tableParts>
  <extLs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848E31-CCCD-4E28-BA01-900027D655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Channel Analysis</vt:lpstr>
      <vt:lpstr>City Analysis</vt:lpstr>
      <vt:lpstr>Segment Analysis</vt:lpstr>
      <vt:lpstr>Campaign Analysis</vt:lpstr>
      <vt:lpstr>im_packaging_marketing master_m</vt:lpstr>
      <vt:lpstr>Executive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Siddiq Mulla</dc:creator>
  <cp:lastModifiedBy>Siddiq Mulla</cp:lastModifiedBy>
  <dcterms:created xsi:type="dcterms:W3CDTF">2026-09-05T18:24:49Z</dcterms:created>
  <dcterms:modified xsi:type="dcterms:W3CDTF">2026-09-05T19:23:52Z</dcterms:modified>
</cp:coreProperties>
</file>